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774d4df49d1a65/Documents/Financial Modelling/financial Models pdf/"/>
    </mc:Choice>
  </mc:AlternateContent>
  <xr:revisionPtr revIDLastSave="1" documentId="13_ncr:1_{FCBC3D3C-26DF-496A-A90F-0F1205A7E732}" xr6:coauthVersionLast="47" xr6:coauthVersionMax="47" xr10:uidLastSave="{5FF49CB3-801B-4459-8065-9C661DD7CBA2}"/>
  <bookViews>
    <workbookView xWindow="-108" yWindow="-108" windowWidth="23256" windowHeight="12456" activeTab="2" xr2:uid="{D311F6E7-BD6E-4C3C-BC76-1B69E5FCE385}"/>
  </bookViews>
  <sheets>
    <sheet name="Financials&gt;" sheetId="3" r:id="rId1"/>
    <sheet name="Data" sheetId="2" r:id="rId2"/>
    <sheet name="HistoricalFS" sheetId="4" r:id="rId3"/>
    <sheet name="Data Sheet" sheetId="1" r:id="rId4"/>
    <sheet name="Cash flow Data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7" i="4" l="1"/>
  <c r="K107" i="4"/>
  <c r="J107" i="4"/>
  <c r="I107" i="4"/>
  <c r="H107" i="4"/>
  <c r="G107" i="4"/>
  <c r="F107" i="4"/>
  <c r="E107" i="4"/>
  <c r="D107" i="4"/>
  <c r="C107" i="4"/>
  <c r="L105" i="4"/>
  <c r="K105" i="4"/>
  <c r="J105" i="4"/>
  <c r="I105" i="4"/>
  <c r="H105" i="4"/>
  <c r="G105" i="4"/>
  <c r="F105" i="4"/>
  <c r="E105" i="4"/>
  <c r="D105" i="4"/>
  <c r="C105" i="4"/>
  <c r="L104" i="4"/>
  <c r="K104" i="4"/>
  <c r="J104" i="4"/>
  <c r="I104" i="4"/>
  <c r="H104" i="4"/>
  <c r="G104" i="4"/>
  <c r="F104" i="4"/>
  <c r="E104" i="4"/>
  <c r="D104" i="4"/>
  <c r="L103" i="4"/>
  <c r="K103" i="4"/>
  <c r="J103" i="4"/>
  <c r="I103" i="4"/>
  <c r="H103" i="4"/>
  <c r="G103" i="4"/>
  <c r="F103" i="4"/>
  <c r="E103" i="4"/>
  <c r="D103" i="4"/>
  <c r="L102" i="4"/>
  <c r="K102" i="4"/>
  <c r="J102" i="4"/>
  <c r="I102" i="4"/>
  <c r="H102" i="4"/>
  <c r="G102" i="4"/>
  <c r="F102" i="4"/>
  <c r="E102" i="4"/>
  <c r="D102" i="4"/>
  <c r="L101" i="4"/>
  <c r="K101" i="4"/>
  <c r="J101" i="4"/>
  <c r="I101" i="4"/>
  <c r="H101" i="4"/>
  <c r="G101" i="4"/>
  <c r="F101" i="4"/>
  <c r="E101" i="4"/>
  <c r="D101" i="4"/>
  <c r="L100" i="4"/>
  <c r="K100" i="4"/>
  <c r="J100" i="4"/>
  <c r="I100" i="4"/>
  <c r="H100" i="4"/>
  <c r="G100" i="4"/>
  <c r="F100" i="4"/>
  <c r="E100" i="4"/>
  <c r="D100" i="4"/>
  <c r="L99" i="4"/>
  <c r="K99" i="4"/>
  <c r="J99" i="4"/>
  <c r="I99" i="4"/>
  <c r="H99" i="4"/>
  <c r="G99" i="4"/>
  <c r="F99" i="4"/>
  <c r="E99" i="4"/>
  <c r="D99" i="4"/>
  <c r="L98" i="4"/>
  <c r="K98" i="4"/>
  <c r="J98" i="4"/>
  <c r="I98" i="4"/>
  <c r="H98" i="4"/>
  <c r="G98" i="4"/>
  <c r="F98" i="4"/>
  <c r="E98" i="4"/>
  <c r="D98" i="4"/>
  <c r="L97" i="4"/>
  <c r="K97" i="4"/>
  <c r="J97" i="4"/>
  <c r="I97" i="4"/>
  <c r="H97" i="4"/>
  <c r="G97" i="4"/>
  <c r="F97" i="4"/>
  <c r="E97" i="4"/>
  <c r="D97" i="4"/>
  <c r="C104" i="4"/>
  <c r="C103" i="4"/>
  <c r="C102" i="4"/>
  <c r="C101" i="4"/>
  <c r="C100" i="4"/>
  <c r="C99" i="4"/>
  <c r="C98" i="4"/>
  <c r="C97" i="4"/>
  <c r="L93" i="4"/>
  <c r="K93" i="4"/>
  <c r="J93" i="4"/>
  <c r="I93" i="4"/>
  <c r="H93" i="4"/>
  <c r="G93" i="4"/>
  <c r="F93" i="4"/>
  <c r="E93" i="4"/>
  <c r="D93" i="4"/>
  <c r="L92" i="4"/>
  <c r="K92" i="4"/>
  <c r="J92" i="4"/>
  <c r="I92" i="4"/>
  <c r="H92" i="4"/>
  <c r="G92" i="4"/>
  <c r="F92" i="4"/>
  <c r="E92" i="4"/>
  <c r="D92" i="4"/>
  <c r="L91" i="4"/>
  <c r="K91" i="4"/>
  <c r="J91" i="4"/>
  <c r="I91" i="4"/>
  <c r="H91" i="4"/>
  <c r="G91" i="4"/>
  <c r="F91" i="4"/>
  <c r="E91" i="4"/>
  <c r="D91" i="4"/>
  <c r="L90" i="4"/>
  <c r="K90" i="4"/>
  <c r="J90" i="4"/>
  <c r="I90" i="4"/>
  <c r="H90" i="4"/>
  <c r="G90" i="4"/>
  <c r="F90" i="4"/>
  <c r="E90" i="4"/>
  <c r="D90" i="4"/>
  <c r="L89" i="4"/>
  <c r="K89" i="4"/>
  <c r="J89" i="4"/>
  <c r="I89" i="4"/>
  <c r="H89" i="4"/>
  <c r="G89" i="4"/>
  <c r="F89" i="4"/>
  <c r="E89" i="4"/>
  <c r="D89" i="4"/>
  <c r="L88" i="4"/>
  <c r="K88" i="4"/>
  <c r="J88" i="4"/>
  <c r="I88" i="4"/>
  <c r="H88" i="4"/>
  <c r="G88" i="4"/>
  <c r="F88" i="4"/>
  <c r="E88" i="4"/>
  <c r="D88" i="4"/>
  <c r="L87" i="4"/>
  <c r="K87" i="4"/>
  <c r="J87" i="4"/>
  <c r="I87" i="4"/>
  <c r="H87" i="4"/>
  <c r="G87" i="4"/>
  <c r="F87" i="4"/>
  <c r="E87" i="4"/>
  <c r="D87" i="4"/>
  <c r="L86" i="4"/>
  <c r="K86" i="4"/>
  <c r="J86" i="4"/>
  <c r="I86" i="4"/>
  <c r="H86" i="4"/>
  <c r="G86" i="4"/>
  <c r="F86" i="4"/>
  <c r="E86" i="4"/>
  <c r="D86" i="4"/>
  <c r="L85" i="4"/>
  <c r="K85" i="4"/>
  <c r="J85" i="4"/>
  <c r="I85" i="4"/>
  <c r="H85" i="4"/>
  <c r="G85" i="4"/>
  <c r="F85" i="4"/>
  <c r="E85" i="4"/>
  <c r="D85" i="4"/>
  <c r="L84" i="4"/>
  <c r="K84" i="4"/>
  <c r="J84" i="4"/>
  <c r="I84" i="4"/>
  <c r="H84" i="4"/>
  <c r="G84" i="4"/>
  <c r="F84" i="4"/>
  <c r="E84" i="4"/>
  <c r="D84" i="4"/>
  <c r="L83" i="4"/>
  <c r="K83" i="4"/>
  <c r="J83" i="4"/>
  <c r="I83" i="4"/>
  <c r="H83" i="4"/>
  <c r="G83" i="4"/>
  <c r="F83" i="4"/>
  <c r="E83" i="4"/>
  <c r="D83" i="4"/>
  <c r="L82" i="4"/>
  <c r="K82" i="4"/>
  <c r="J82" i="4"/>
  <c r="I82" i="4"/>
  <c r="H82" i="4"/>
  <c r="G82" i="4"/>
  <c r="F82" i="4"/>
  <c r="E82" i="4"/>
  <c r="D82" i="4"/>
  <c r="C93" i="4"/>
  <c r="C92" i="4"/>
  <c r="C91" i="4"/>
  <c r="C90" i="4"/>
  <c r="C89" i="4"/>
  <c r="C88" i="4"/>
  <c r="C87" i="4"/>
  <c r="C86" i="4"/>
  <c r="C85" i="4"/>
  <c r="C84" i="4"/>
  <c r="C83" i="4"/>
  <c r="C82" i="4"/>
  <c r="L78" i="4"/>
  <c r="K78" i="4"/>
  <c r="J78" i="4"/>
  <c r="I78" i="4"/>
  <c r="H78" i="4"/>
  <c r="G78" i="4"/>
  <c r="F78" i="4"/>
  <c r="E78" i="4"/>
  <c r="D78" i="4"/>
  <c r="C78" i="4"/>
  <c r="L77" i="4"/>
  <c r="K77" i="4"/>
  <c r="J77" i="4"/>
  <c r="I77" i="4"/>
  <c r="H77" i="4"/>
  <c r="G77" i="4"/>
  <c r="F77" i="4"/>
  <c r="E77" i="4"/>
  <c r="D77" i="4"/>
  <c r="C77" i="4"/>
  <c r="L76" i="4"/>
  <c r="K76" i="4"/>
  <c r="J76" i="4"/>
  <c r="I76" i="4"/>
  <c r="H76" i="4"/>
  <c r="G76" i="4"/>
  <c r="F76" i="4"/>
  <c r="E76" i="4"/>
  <c r="D76" i="4"/>
  <c r="C76" i="4"/>
  <c r="L75" i="4"/>
  <c r="K75" i="4"/>
  <c r="J75" i="4"/>
  <c r="I75" i="4"/>
  <c r="H75" i="4"/>
  <c r="G75" i="4"/>
  <c r="F75" i="4"/>
  <c r="E75" i="4"/>
  <c r="D75" i="4"/>
  <c r="C75" i="4"/>
  <c r="L74" i="4"/>
  <c r="K74" i="4"/>
  <c r="J74" i="4"/>
  <c r="I74" i="4"/>
  <c r="H74" i="4"/>
  <c r="G74" i="4"/>
  <c r="F74" i="4"/>
  <c r="E74" i="4"/>
  <c r="D74" i="4"/>
  <c r="C74" i="4"/>
  <c r="L73" i="4"/>
  <c r="K73" i="4"/>
  <c r="J73" i="4"/>
  <c r="I73" i="4"/>
  <c r="H73" i="4"/>
  <c r="G73" i="4"/>
  <c r="F73" i="4"/>
  <c r="E73" i="4"/>
  <c r="D73" i="4"/>
  <c r="C73" i="4"/>
  <c r="L72" i="4"/>
  <c r="K72" i="4"/>
  <c r="J72" i="4"/>
  <c r="I72" i="4"/>
  <c r="H72" i="4"/>
  <c r="G72" i="4"/>
  <c r="F72" i="4"/>
  <c r="E72" i="4"/>
  <c r="D72" i="4"/>
  <c r="C72" i="4"/>
  <c r="L71" i="4"/>
  <c r="K71" i="4"/>
  <c r="J71" i="4"/>
  <c r="I71" i="4"/>
  <c r="H71" i="4"/>
  <c r="G71" i="4"/>
  <c r="F71" i="4"/>
  <c r="E71" i="4"/>
  <c r="D71" i="4"/>
  <c r="C71" i="4"/>
  <c r="L57" i="4"/>
  <c r="K57" i="4"/>
  <c r="J57" i="4"/>
  <c r="I57" i="4"/>
  <c r="H57" i="4"/>
  <c r="G57" i="4"/>
  <c r="F57" i="4"/>
  <c r="E57" i="4"/>
  <c r="D57" i="4"/>
  <c r="C57" i="4"/>
  <c r="L62" i="4"/>
  <c r="K62" i="4"/>
  <c r="J62" i="4"/>
  <c r="I62" i="4"/>
  <c r="H62" i="4"/>
  <c r="G62" i="4"/>
  <c r="F62" i="4"/>
  <c r="E62" i="4"/>
  <c r="D62" i="4"/>
  <c r="L61" i="4"/>
  <c r="K61" i="4"/>
  <c r="J61" i="4"/>
  <c r="I61" i="4"/>
  <c r="H61" i="4"/>
  <c r="G61" i="4"/>
  <c r="F61" i="4"/>
  <c r="E61" i="4"/>
  <c r="D61" i="4"/>
  <c r="L60" i="4"/>
  <c r="K60" i="4"/>
  <c r="J60" i="4"/>
  <c r="I60" i="4"/>
  <c r="H60" i="4"/>
  <c r="G60" i="4"/>
  <c r="F60" i="4"/>
  <c r="E60" i="4"/>
  <c r="D60" i="4"/>
  <c r="C62" i="4"/>
  <c r="C61" i="4"/>
  <c r="C60" i="4"/>
  <c r="L56" i="4"/>
  <c r="K56" i="4"/>
  <c r="J56" i="4"/>
  <c r="I56" i="4"/>
  <c r="H56" i="4"/>
  <c r="G56" i="4"/>
  <c r="F56" i="4"/>
  <c r="E56" i="4"/>
  <c r="D56" i="4"/>
  <c r="L55" i="4"/>
  <c r="K55" i="4"/>
  <c r="J55" i="4"/>
  <c r="I55" i="4"/>
  <c r="H55" i="4"/>
  <c r="G55" i="4"/>
  <c r="F55" i="4"/>
  <c r="E55" i="4"/>
  <c r="D55" i="4"/>
  <c r="L54" i="4"/>
  <c r="K54" i="4"/>
  <c r="J54" i="4"/>
  <c r="I54" i="4"/>
  <c r="H54" i="4"/>
  <c r="G54" i="4"/>
  <c r="F54" i="4"/>
  <c r="E54" i="4"/>
  <c r="D54" i="4"/>
  <c r="C56" i="4"/>
  <c r="C55" i="4"/>
  <c r="C54" i="4"/>
  <c r="L52" i="4"/>
  <c r="K52" i="4"/>
  <c r="J52" i="4"/>
  <c r="I52" i="4"/>
  <c r="H52" i="4"/>
  <c r="G52" i="4"/>
  <c r="F52" i="4"/>
  <c r="E52" i="4"/>
  <c r="D52" i="4"/>
  <c r="L51" i="4"/>
  <c r="K51" i="4"/>
  <c r="J51" i="4"/>
  <c r="I51" i="4"/>
  <c r="H51" i="4"/>
  <c r="G51" i="4"/>
  <c r="F51" i="4"/>
  <c r="E51" i="4"/>
  <c r="D51" i="4"/>
  <c r="L50" i="4"/>
  <c r="K50" i="4"/>
  <c r="J50" i="4"/>
  <c r="I50" i="4"/>
  <c r="H50" i="4"/>
  <c r="G50" i="4"/>
  <c r="F50" i="4"/>
  <c r="E50" i="4"/>
  <c r="D50" i="4"/>
  <c r="L49" i="4"/>
  <c r="K49" i="4"/>
  <c r="J49" i="4"/>
  <c r="I49" i="4"/>
  <c r="H49" i="4"/>
  <c r="G49" i="4"/>
  <c r="F49" i="4"/>
  <c r="E49" i="4"/>
  <c r="D49" i="4"/>
  <c r="L48" i="4"/>
  <c r="K48" i="4"/>
  <c r="J48" i="4"/>
  <c r="I48" i="4"/>
  <c r="H48" i="4"/>
  <c r="G48" i="4"/>
  <c r="F48" i="4"/>
  <c r="E48" i="4"/>
  <c r="D48" i="4"/>
  <c r="C49" i="4"/>
  <c r="C50" i="4"/>
  <c r="C51" i="4"/>
  <c r="C52" i="4"/>
  <c r="C48" i="4"/>
  <c r="M36" i="4"/>
  <c r="M41" i="4" s="1"/>
  <c r="L36" i="4"/>
  <c r="L41" i="4" s="1"/>
  <c r="K36" i="4"/>
  <c r="K41" i="4" s="1"/>
  <c r="J36" i="4"/>
  <c r="J41" i="4" s="1"/>
  <c r="I36" i="4"/>
  <c r="I41" i="4" s="1"/>
  <c r="H36" i="4"/>
  <c r="H41" i="4" s="1"/>
  <c r="G36" i="4"/>
  <c r="G41" i="4" s="1"/>
  <c r="F36" i="4"/>
  <c r="F41" i="4" s="1"/>
  <c r="E36" i="4"/>
  <c r="E41" i="4" s="1"/>
  <c r="D36" i="4"/>
  <c r="D41" i="4" s="1"/>
  <c r="C36" i="4"/>
  <c r="C41" i="4" s="1"/>
  <c r="M30" i="4"/>
  <c r="L30" i="4"/>
  <c r="K30" i="4"/>
  <c r="J30" i="4"/>
  <c r="I30" i="4"/>
  <c r="H30" i="4"/>
  <c r="G30" i="4"/>
  <c r="F30" i="4"/>
  <c r="E30" i="4"/>
  <c r="D30" i="4"/>
  <c r="C30" i="4"/>
  <c r="L24" i="4"/>
  <c r="K24" i="4"/>
  <c r="J24" i="4"/>
  <c r="I24" i="4"/>
  <c r="H24" i="4"/>
  <c r="G24" i="4"/>
  <c r="F24" i="4"/>
  <c r="E24" i="4"/>
  <c r="D24" i="4"/>
  <c r="C24" i="4"/>
  <c r="M24" i="4"/>
  <c r="M21" i="4"/>
  <c r="L21" i="4"/>
  <c r="K21" i="4"/>
  <c r="J21" i="4"/>
  <c r="I21" i="4"/>
  <c r="H21" i="4"/>
  <c r="G21" i="4"/>
  <c r="F21" i="4"/>
  <c r="E21" i="4"/>
  <c r="D21" i="4"/>
  <c r="C21" i="4"/>
  <c r="M18" i="4"/>
  <c r="L15" i="4"/>
  <c r="K15" i="4"/>
  <c r="J15" i="4"/>
  <c r="I15" i="4"/>
  <c r="H15" i="4"/>
  <c r="G15" i="4"/>
  <c r="F15" i="4"/>
  <c r="E15" i="4"/>
  <c r="D15" i="4"/>
  <c r="C15" i="4"/>
  <c r="M9" i="4"/>
  <c r="D9" i="4"/>
  <c r="E9" i="4"/>
  <c r="F9" i="4"/>
  <c r="G9" i="4"/>
  <c r="H9" i="4"/>
  <c r="I9" i="4"/>
  <c r="J9" i="4"/>
  <c r="K9" i="4"/>
  <c r="L9" i="4"/>
  <c r="C9" i="4"/>
  <c r="M6" i="4"/>
  <c r="D6" i="4"/>
  <c r="E6" i="4"/>
  <c r="F6" i="4"/>
  <c r="G6" i="4"/>
  <c r="H6" i="4"/>
  <c r="I6" i="4"/>
  <c r="J6" i="4"/>
  <c r="K6" i="4"/>
  <c r="L6" i="4"/>
  <c r="C6" i="4"/>
  <c r="D3" i="4"/>
  <c r="E3" i="4"/>
  <c r="F3" i="4"/>
  <c r="G3" i="4"/>
  <c r="H3" i="4"/>
  <c r="I3" i="4"/>
  <c r="J3" i="4"/>
  <c r="K3" i="4"/>
  <c r="L3" i="4"/>
  <c r="C3" i="4"/>
  <c r="B2" i="4"/>
  <c r="B6" i="1"/>
  <c r="E1" i="1"/>
  <c r="H94" i="4" l="1"/>
  <c r="J94" i="4"/>
  <c r="K94" i="4"/>
  <c r="D94" i="4"/>
  <c r="E94" i="4"/>
  <c r="F94" i="4"/>
  <c r="G94" i="4"/>
  <c r="L58" i="4"/>
  <c r="F63" i="4"/>
  <c r="C94" i="4"/>
  <c r="I94" i="4"/>
  <c r="L94" i="4"/>
  <c r="K58" i="4"/>
  <c r="F79" i="4"/>
  <c r="I63" i="4"/>
  <c r="G79" i="4"/>
  <c r="J63" i="4"/>
  <c r="G63" i="4"/>
  <c r="J58" i="4"/>
  <c r="C63" i="4"/>
  <c r="E63" i="4"/>
  <c r="C58" i="4"/>
  <c r="D79" i="4"/>
  <c r="H63" i="4"/>
  <c r="E79" i="4"/>
  <c r="D58" i="4"/>
  <c r="E58" i="4"/>
  <c r="K63" i="4"/>
  <c r="F58" i="4"/>
  <c r="F65" i="4" s="1"/>
  <c r="F67" i="4" s="1"/>
  <c r="L63" i="4"/>
  <c r="I79" i="4"/>
  <c r="J79" i="4"/>
  <c r="G58" i="4"/>
  <c r="D63" i="4"/>
  <c r="H58" i="4"/>
  <c r="K79" i="4"/>
  <c r="I58" i="4"/>
  <c r="L79" i="4"/>
  <c r="C79" i="4"/>
  <c r="H79" i="4"/>
  <c r="M25" i="4"/>
  <c r="M27" i="4"/>
  <c r="M31" i="4" s="1"/>
  <c r="H12" i="4"/>
  <c r="H18" i="4" s="1"/>
  <c r="H19" i="4" s="1"/>
  <c r="E25" i="4"/>
  <c r="C22" i="4"/>
  <c r="F25" i="4"/>
  <c r="G25" i="4"/>
  <c r="I25" i="4"/>
  <c r="J25" i="4"/>
  <c r="C25" i="4"/>
  <c r="L12" i="4"/>
  <c r="L13" i="4" s="1"/>
  <c r="I10" i="4"/>
  <c r="H25" i="4"/>
  <c r="I16" i="4"/>
  <c r="K25" i="4"/>
  <c r="D25" i="4"/>
  <c r="K12" i="4"/>
  <c r="L25" i="4"/>
  <c r="J16" i="4"/>
  <c r="F16" i="4"/>
  <c r="K16" i="4"/>
  <c r="M22" i="4"/>
  <c r="L7" i="4"/>
  <c r="M10" i="4"/>
  <c r="M19" i="4"/>
  <c r="C10" i="4"/>
  <c r="L10" i="4"/>
  <c r="E22" i="4"/>
  <c r="J10" i="4"/>
  <c r="I22" i="4"/>
  <c r="I12" i="4"/>
  <c r="E16" i="4"/>
  <c r="I7" i="4"/>
  <c r="M7" i="4"/>
  <c r="G16" i="4"/>
  <c r="H16" i="4"/>
  <c r="C12" i="4"/>
  <c r="K10" i="4"/>
  <c r="M12" i="4"/>
  <c r="M13" i="4" s="1"/>
  <c r="E10" i="4"/>
  <c r="G22" i="4"/>
  <c r="D22" i="4"/>
  <c r="H22" i="4"/>
  <c r="H10" i="4"/>
  <c r="D7" i="4"/>
  <c r="G10" i="4"/>
  <c r="E12" i="4"/>
  <c r="J22" i="4"/>
  <c r="C16" i="4"/>
  <c r="L22" i="4"/>
  <c r="F7" i="4"/>
  <c r="D10" i="4"/>
  <c r="D16" i="4"/>
  <c r="J12" i="4"/>
  <c r="E7" i="4"/>
  <c r="K7" i="4"/>
  <c r="G12" i="4"/>
  <c r="L16" i="4"/>
  <c r="J7" i="4"/>
  <c r="F12" i="4"/>
  <c r="M16" i="4"/>
  <c r="F22" i="4"/>
  <c r="F10" i="4"/>
  <c r="H7" i="4"/>
  <c r="D12" i="4"/>
  <c r="G7" i="4"/>
  <c r="K22" i="4"/>
  <c r="H65" i="4" l="1"/>
  <c r="H67" i="4" s="1"/>
  <c r="D65" i="4"/>
  <c r="D67" i="4" s="1"/>
  <c r="I65" i="4"/>
  <c r="I67" i="4" s="1"/>
  <c r="J65" i="4"/>
  <c r="J67" i="4" s="1"/>
  <c r="L65" i="4"/>
  <c r="L67" i="4" s="1"/>
  <c r="K65" i="4"/>
  <c r="K67" i="4" s="1"/>
  <c r="C65" i="4"/>
  <c r="C67" i="4" s="1"/>
  <c r="E65" i="4"/>
  <c r="E67" i="4" s="1"/>
  <c r="G65" i="4"/>
  <c r="G67" i="4" s="1"/>
  <c r="M33" i="4"/>
  <c r="M38" i="4" s="1"/>
  <c r="M28" i="4"/>
  <c r="L18" i="4"/>
  <c r="L27" i="4" s="1"/>
  <c r="H13" i="4"/>
  <c r="H27" i="4"/>
  <c r="F18" i="4"/>
  <c r="F13" i="4"/>
  <c r="C18" i="4"/>
  <c r="C13" i="4"/>
  <c r="E18" i="4"/>
  <c r="E13" i="4"/>
  <c r="G18" i="4"/>
  <c r="G13" i="4"/>
  <c r="K18" i="4"/>
  <c r="K13" i="4"/>
  <c r="J18" i="4"/>
  <c r="J13" i="4"/>
  <c r="I18" i="4"/>
  <c r="I13" i="4"/>
  <c r="D18" i="4"/>
  <c r="D13" i="4"/>
  <c r="L19" i="4" l="1"/>
  <c r="M34" i="4"/>
  <c r="M44" i="4"/>
  <c r="M42" i="4"/>
  <c r="L28" i="4"/>
  <c r="L33" i="4"/>
  <c r="L31" i="4"/>
  <c r="H28" i="4"/>
  <c r="H33" i="4"/>
  <c r="H31" i="4"/>
  <c r="J19" i="4"/>
  <c r="J27" i="4"/>
  <c r="F19" i="4"/>
  <c r="F27" i="4"/>
  <c r="K19" i="4"/>
  <c r="K27" i="4"/>
  <c r="G19" i="4"/>
  <c r="G27" i="4"/>
  <c r="D19" i="4"/>
  <c r="D27" i="4"/>
  <c r="E19" i="4"/>
  <c r="E27" i="4"/>
  <c r="I19" i="4"/>
  <c r="I27" i="4"/>
  <c r="C19" i="4"/>
  <c r="C27" i="4"/>
  <c r="L38" i="4" l="1"/>
  <c r="L34" i="4"/>
  <c r="K28" i="4"/>
  <c r="K33" i="4"/>
  <c r="K31" i="4"/>
  <c r="C28" i="4"/>
  <c r="C31" i="4"/>
  <c r="C33" i="4"/>
  <c r="F28" i="4"/>
  <c r="F33" i="4"/>
  <c r="F31" i="4"/>
  <c r="J28" i="4"/>
  <c r="J33" i="4"/>
  <c r="J31" i="4"/>
  <c r="I28" i="4"/>
  <c r="I31" i="4"/>
  <c r="I33" i="4"/>
  <c r="E28" i="4"/>
  <c r="E33" i="4"/>
  <c r="E31" i="4"/>
  <c r="H34" i="4"/>
  <c r="H38" i="4"/>
  <c r="D28" i="4"/>
  <c r="D33" i="4"/>
  <c r="D31" i="4"/>
  <c r="G28" i="4"/>
  <c r="G33" i="4"/>
  <c r="G31" i="4"/>
  <c r="L44" i="4" l="1"/>
  <c r="L42" i="4"/>
  <c r="M39" i="4"/>
  <c r="H42" i="4"/>
  <c r="K34" i="4"/>
  <c r="K38" i="4"/>
  <c r="L39" i="4" s="1"/>
  <c r="J34" i="4"/>
  <c r="J38" i="4"/>
  <c r="D34" i="4"/>
  <c r="D38" i="4"/>
  <c r="F34" i="4"/>
  <c r="F38" i="4"/>
  <c r="G34" i="4"/>
  <c r="G38" i="4"/>
  <c r="C34" i="4"/>
  <c r="C38" i="4"/>
  <c r="E34" i="4"/>
  <c r="E38" i="4"/>
  <c r="I34" i="4"/>
  <c r="I38" i="4"/>
  <c r="D39" i="4" l="1"/>
  <c r="D42" i="4"/>
  <c r="C44" i="4" s="1"/>
  <c r="I39" i="4"/>
  <c r="I42" i="4"/>
  <c r="H44" i="4" s="1"/>
  <c r="E39" i="4"/>
  <c r="E42" i="4"/>
  <c r="D44" i="4" s="1"/>
  <c r="J39" i="4"/>
  <c r="J42" i="4"/>
  <c r="I44" i="4" s="1"/>
  <c r="K39" i="4"/>
  <c r="K44" i="4"/>
  <c r="K42" i="4"/>
  <c r="J44" i="4" s="1"/>
  <c r="C42" i="4"/>
  <c r="G39" i="4"/>
  <c r="G44" i="4"/>
  <c r="G42" i="4"/>
  <c r="F44" i="4" s="1"/>
  <c r="H39" i="4"/>
  <c r="F39" i="4"/>
  <c r="F42" i="4"/>
  <c r="E44" i="4" s="1"/>
</calcChain>
</file>

<file path=xl/sharedStrings.xml><?xml version="1.0" encoding="utf-8"?>
<sst xmlns="http://schemas.openxmlformats.org/spreadsheetml/2006/main" count="183" uniqueCount="124">
  <si>
    <t>COMPANY NAME</t>
  </si>
  <si>
    <t>NESTLE INDIA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</si>
  <si>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</si>
  <si>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</si>
  <si>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</si>
  <si>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</si>
  <si>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</si>
  <si>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</si>
  <si>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</si>
  <si>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</si>
  <si>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</si>
  <si>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</si>
  <si>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</si>
  <si>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</si>
  <si>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</si>
  <si>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</si>
  <si>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</si>
  <si>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</si>
  <si>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</si>
  <si>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</si>
  <si>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</si>
  <si>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</si>
  <si>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</si>
  <si>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</si>
  <si>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</si>
  <si>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</si>
  <si>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</si>
  <si>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</si>
  <si>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</si>
  <si>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</si>
  <si>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</si>
  <si>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</si>
  <si>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</si>
  <si>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</si>
  <si>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</si>
  <si>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</si>
  <si>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</si>
  <si>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</si>
  <si>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</si>
  <si>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</si>
  <si>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</si>
  <si>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</si>
  <si>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</si>
  <si>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</si>
  <si>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</si>
  <si>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</si>
  <si>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</si>
  <si>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</si>
  <si>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</si>
  <si>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</si>
  <si>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</si>
  <si>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</si>
  <si>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</si>
  <si>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</si>
  <si>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</si>
  <si>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</si>
  <si>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#</t>
  </si>
  <si>
    <t>Income Statement</t>
  </si>
  <si>
    <t>Sales Growth</t>
  </si>
  <si>
    <t>-</t>
  </si>
  <si>
    <t>COGS</t>
  </si>
  <si>
    <t>COGS % sales</t>
  </si>
  <si>
    <t>Gross Profit</t>
  </si>
  <si>
    <t>Selling and General Expenses</t>
  </si>
  <si>
    <t>S&amp;G Exp % sales</t>
  </si>
  <si>
    <t>EBITDA</t>
  </si>
  <si>
    <t>EBITDA%sales</t>
  </si>
  <si>
    <t>Interest % sales</t>
  </si>
  <si>
    <t>Gross Margin</t>
  </si>
  <si>
    <t>Depreciation % sales</t>
  </si>
  <si>
    <t>Earnings Before Tax</t>
  </si>
  <si>
    <t>EBT%sales</t>
  </si>
  <si>
    <t>Effective Tax rate</t>
  </si>
  <si>
    <t>Net Profit</t>
  </si>
  <si>
    <t>Net margin</t>
  </si>
  <si>
    <t>No of Equity Shares</t>
  </si>
  <si>
    <t>EPS</t>
  </si>
  <si>
    <t>Dividend per share</t>
  </si>
  <si>
    <t>EPS Growth</t>
  </si>
  <si>
    <t>Dividend payout ratio</t>
  </si>
  <si>
    <t>Retained Earnings</t>
  </si>
  <si>
    <t>Balance Sheet</t>
  </si>
  <si>
    <t>Total Liablities</t>
  </si>
  <si>
    <t>Total Non Current Assets</t>
  </si>
  <si>
    <t>Fixex Assets Net Block</t>
  </si>
  <si>
    <t>Total Current Assets</t>
  </si>
  <si>
    <t>Total Assets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</si>
  <si>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</si>
  <si>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</si>
  <si>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</si>
  <si>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</si>
  <si>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</si>
  <si>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</si>
  <si>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</si>
  <si>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</si>
  <si>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</si>
  <si>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</si>
  <si>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</si>
  <si>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</si>
  <si>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</si>
  <si>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</si>
  <si>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</si>
  <si>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</si>
  <si>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</si>
  <si>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</si>
  <si>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</si>
  <si>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</si>
  <si>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</si>
  <si>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</si>
  <si>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</si>
  <si>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</si>
  <si>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</si>
  <si>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</si>
  <si>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</si>
  <si>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</si>
  <si>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</si>
  <si>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</si>
  <si>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Statements</t>
  </si>
  <si>
    <t>Cash From Operating Activities</t>
  </si>
  <si>
    <t>Operating Activities</t>
  </si>
  <si>
    <t>Investing Activities</t>
  </si>
  <si>
    <t>Financing Activity</t>
  </si>
  <si>
    <t>Cash From Investing Activities</t>
  </si>
  <si>
    <t>Cash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</si>
</sst>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\₹#,##0.0;\(\₹#,##0.0\);\-"/>
    <numFmt numFmtId="167" formatCode="\₹#,##0;\(\₹#,##0\);\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165" fontId="2" fillId="3" borderId="0" xfId="1" applyNumberFormat="1" applyFont="1" applyFill="1" applyBorder="1"/>
    <xf numFmtId="165" fontId="2" fillId="3" borderId="0" xfId="0" applyNumberFormat="1" applyFont="1" applyFill="1" applyAlignment="1">
      <alignment horizontal="center"/>
    </xf>
    <xf numFmtId="165" fontId="6" fillId="0" borderId="0" xfId="1" applyNumberFormat="1" applyFont="1" applyFill="1" applyBorder="1"/>
    <xf numFmtId="43" fontId="1" fillId="0" borderId="0" xfId="1" applyFont="1" applyBorder="1"/>
    <xf numFmtId="0" fontId="0" fillId="0" borderId="0" xfId="0" applyAlignment="1">
      <alignment wrapText="1"/>
    </xf>
    <xf numFmtId="0" fontId="7" fillId="4" borderId="0" xfId="0" applyFont="1" applyFill="1"/>
    <xf numFmtId="17" fontId="7" fillId="4" borderId="0" xfId="0" applyNumberFormat="1" applyFont="1" applyFill="1"/>
    <xf numFmtId="0" fontId="7" fillId="4" borderId="0" xfId="0" applyFont="1" applyFill="1" applyAlignment="1">
      <alignment horizontal="right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10" fontId="9" fillId="0" borderId="0" xfId="4" applyNumberFormat="1" applyFont="1"/>
    <xf numFmtId="10" fontId="9" fillId="0" borderId="0" xfId="4" applyNumberFormat="1" applyFont="1" applyAlignment="1">
      <alignment horizontal="right"/>
    </xf>
    <xf numFmtId="0" fontId="7" fillId="5" borderId="0" xfId="0" applyFont="1" applyFill="1"/>
    <xf numFmtId="17" fontId="7" fillId="5" borderId="0" xfId="0" applyNumberFormat="1" applyFont="1" applyFill="1"/>
    <xf numFmtId="0" fontId="7" fillId="5" borderId="0" xfId="0" applyFont="1" applyFill="1" applyAlignment="1">
      <alignment horizontal="right"/>
    </xf>
    <xf numFmtId="0" fontId="3" fillId="6" borderId="0" xfId="0" applyFont="1" applyFill="1"/>
    <xf numFmtId="0" fontId="0" fillId="6" borderId="0" xfId="0" applyFill="1"/>
    <xf numFmtId="166" fontId="3" fillId="0" borderId="0" xfId="0" applyNumberFormat="1" applyFont="1"/>
    <xf numFmtId="167" fontId="3" fillId="0" borderId="0" xfId="0" applyNumberFormat="1" applyFont="1"/>
    <xf numFmtId="9" fontId="3" fillId="0" borderId="0" xfId="4" applyFont="1"/>
    <xf numFmtId="43" fontId="3" fillId="0" borderId="0" xfId="1" applyFont="1" applyFill="1" applyBorder="1"/>
    <xf numFmtId="0" fontId="8" fillId="0" borderId="0" xfId="0" applyFont="1" applyAlignment="1">
      <alignment horizontal="right"/>
    </xf>
    <xf numFmtId="3" fontId="0" fillId="0" borderId="0" xfId="0" applyNumberFormat="1"/>
    <xf numFmtId="17" fontId="3" fillId="0" borderId="0" xfId="0" applyNumberFormat="1" applyFont="1"/>
    <xf numFmtId="0" fontId="7" fillId="4" borderId="0" xfId="0" applyFont="1" applyFill="1" applyAlignment="1">
      <alignment horizontal="center"/>
    </xf>
    <xf numFmtId="164" fontId="5" fillId="0" borderId="0" xfId="3" applyNumberFormat="1" applyBorder="1" applyAlignment="1" applyProtection="1">
      <alignment horizontal="center"/>
    </xf>
    <xf numFmtId="164" fontId="2" fillId="2" borderId="0" xfId="2" applyNumberFormat="1" applyFont="1" applyBorder="1" applyAlignment="1">
      <alignment horizontal="center"/>
    </xf>
  </cellXfs>
  <cellStyles count="5">
    <cellStyle name="Accent6" xfId="2" builtinId="49"/>
    <cellStyle name="Comma" xfId="1" builtinId="3"/>
    <cellStyle name="Hyperlink" xfId="3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3731-C9FD-4B38-BDB5-AC2DF4A78528}">
  <sheetPr>
    <tabColor theme="8" tint="-0.249977111117893"/>
  </sheetPr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1B62-10E1-4BF7-A97F-C8F1595CB705}">
  <dimension ref="A1"/>
  <sheetViews>
    <sheetView showRowColHeader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A95B-FB47-40BB-BC2A-49A306EDC1BF}">
  <dimension ref="A2:M107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07" sqref="B107"/>
    </sheetView>
  </sheetViews>
  <sheetFormatPr defaultRowHeight="14.4" x14ac:dyDescent="0.3"/>
  <cols>
    <col min="1" max="1" width="1.88671875" style="7" customWidth="1"/>
    <col min="2" max="2" width="27" bestFit="1" customWidth="1"/>
    <col min="3" max="13" width="15.88671875" customWidth="1"/>
  </cols>
  <sheetData>
    <row r="2" spans="1:13" x14ac:dyDescent="0.3">
      <c r="B2" s="28" t="str">
        <f>"Historical Financials Statements - "&amp; 'Data Sheet'!B1</f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x14ac:dyDescent="0.3">
      <c r="B3" s="8" t="s">
        <v>54</v>
      </c>
      <c r="C3" s="9">
        <f>'Data Sheet'!B16</f>
      </c>
      <c r="D3" s="9">
        <f>'Data Sheet'!C16</f>
      </c>
      <c r="E3" s="9">
        <f>'Data Sheet'!D16</f>
      </c>
      <c r="F3" s="9">
        <f>'Data Sheet'!E16</f>
      </c>
      <c r="G3" s="9">
        <f>'Data Sheet'!F16</f>
      </c>
      <c r="H3" s="9">
        <f>'Data Sheet'!G16</f>
      </c>
      <c r="I3" s="9">
        <f>'Data Sheet'!H16</f>
      </c>
      <c r="J3" s="9">
        <f>'Data Sheet'!I16</f>
      </c>
      <c r="K3" s="9">
        <f>'Data Sheet'!J16</f>
      </c>
      <c r="L3" s="9">
        <f>'Data Sheet'!K16</f>
      </c>
      <c r="M3" s="10" t="s">
        <v>55</v>
      </c>
    </row>
    <row r="4" spans="1:13" x14ac:dyDescent="0.3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</row>
    <row r="5" spans="1:13" x14ac:dyDescent="0.3">
      <c r="A5" s="7" t="s">
        <v>56</v>
      </c>
      <c r="B5" s="19" t="s">
        <v>57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 x14ac:dyDescent="0.3">
      <c r="B6" s="11" t="s">
        <v>12</v>
      </c>
      <c r="C6" s="21">
        <f>IFERROR('Data Sheet'!B17,0)</f>
      </c>
      <c r="D6" s="21">
        <f>IFERROR('Data Sheet'!C17,0)</f>
      </c>
      <c r="E6" s="21">
        <f>IFERROR('Data Sheet'!D17,0)</f>
      </c>
      <c r="F6" s="21">
        <f>IFERROR('Data Sheet'!E17,0)</f>
      </c>
      <c r="G6" s="21">
        <f>IFERROR('Data Sheet'!F17,0)</f>
      </c>
      <c r="H6" s="21">
        <f>IFERROR('Data Sheet'!G17,0)</f>
      </c>
      <c r="I6" s="21">
        <f>IFERROR('Data Sheet'!H17,0)</f>
      </c>
      <c r="J6" s="21">
        <f>IFERROR('Data Sheet'!I17,0)</f>
      </c>
      <c r="K6" s="21">
        <f>IFERROR('Data Sheet'!J17,0)</f>
      </c>
      <c r="L6" s="21">
        <f>IFERROR('Data Sheet'!K17,0)</f>
      </c>
      <c r="M6" s="21">
        <f>IFERROR(SUM('Data Sheet'!H42:K42),0)</f>
      </c>
    </row>
    <row r="7" spans="1:13" x14ac:dyDescent="0.3">
      <c r="B7" s="12" t="s">
        <v>58</v>
      </c>
      <c r="C7" s="13" t="s">
        <v>59</v>
      </c>
      <c r="D7" s="14">
        <f>D6/C6-1</f>
      </c>
      <c r="E7" s="14">
        <f t="shared" ref="E7:L7" si="0">E6/D6-1</f>
      </c>
      <c r="F7" s="14">
        <f t="shared" si="0"/>
      </c>
      <c r="G7" s="14">
        <f t="shared" si="0"/>
      </c>
      <c r="H7" s="14">
        <f t="shared" si="0"/>
      </c>
      <c r="I7" s="14">
        <f t="shared" si="0"/>
      </c>
      <c r="J7" s="14">
        <f t="shared" si="0"/>
      </c>
      <c r="K7" s="14">
        <f t="shared" si="0"/>
      </c>
      <c r="L7" s="14">
        <f t="shared" si="0"/>
      </c>
      <c r="M7" s="14">
        <f>M6/L6-1</f>
      </c>
    </row>
    <row r="9" spans="1:13" x14ac:dyDescent="0.3">
      <c r="B9" s="11" t="s">
        <v>60</v>
      </c>
      <c r="C9" s="21">
        <f>IFERROR(SUM('Data Sheet'!B18,'Data Sheet'!B20:B22)-1*'Data Sheet'!B19,0)</f>
      </c>
      <c r="D9" s="21">
        <f>IFERROR(SUM('Data Sheet'!C18,'Data Sheet'!C20:C22)-1*'Data Sheet'!C19,0)</f>
      </c>
      <c r="E9" s="21">
        <f>IFERROR(SUM('Data Sheet'!D18,'Data Sheet'!D20:D22)-1*'Data Sheet'!D19,0)</f>
      </c>
      <c r="F9" s="21">
        <f>IFERROR(SUM('Data Sheet'!E18,'Data Sheet'!E20:E22)-1*'Data Sheet'!E19,0)</f>
      </c>
      <c r="G9" s="21">
        <f>IFERROR(SUM('Data Sheet'!F18,'Data Sheet'!F20:F22)-1*'Data Sheet'!F19,0)</f>
      </c>
      <c r="H9" s="21">
        <f>IFERROR(SUM('Data Sheet'!G18,'Data Sheet'!G20:G22)-1*'Data Sheet'!G19,0)</f>
      </c>
      <c r="I9" s="21">
        <f>IFERROR(SUM('Data Sheet'!H18,'Data Sheet'!H20:H22)-1*'Data Sheet'!H19,0)</f>
      </c>
      <c r="J9" s="21">
        <f>IFERROR(SUM('Data Sheet'!I18,'Data Sheet'!I20:I22)-1*'Data Sheet'!I19,0)</f>
      </c>
      <c r="K9" s="21">
        <f>IFERROR(SUM('Data Sheet'!J18,'Data Sheet'!J20:J22)-1*'Data Sheet'!J19,0)</f>
      </c>
      <c r="L9" s="21">
        <f>IFERROR(SUM('Data Sheet'!K18,'Data Sheet'!K20:K22)-1*'Data Sheet'!K19,0)</f>
      </c>
      <c r="M9" s="21">
        <f>IFERROR(SUM('Data Sheet'!H43:K43),0)</f>
      </c>
    </row>
    <row r="10" spans="1:13" x14ac:dyDescent="0.3">
      <c r="B10" s="12" t="s">
        <v>61</v>
      </c>
      <c r="C10" s="15">
        <f>C9/C6</f>
      </c>
      <c r="D10" s="14">
        <f t="shared" ref="D10:M10" si="1">D9/D6</f>
      </c>
      <c r="E10" s="14">
        <f t="shared" si="1"/>
      </c>
      <c r="F10" s="14">
        <f t="shared" si="1"/>
      </c>
      <c r="G10" s="14">
        <f t="shared" si="1"/>
      </c>
      <c r="H10" s="14">
        <f t="shared" si="1"/>
      </c>
      <c r="I10" s="14">
        <f t="shared" si="1"/>
      </c>
      <c r="J10" s="14">
        <f t="shared" si="1"/>
      </c>
      <c r="K10" s="14">
        <f t="shared" si="1"/>
      </c>
      <c r="L10" s="14">
        <f t="shared" si="1"/>
      </c>
      <c r="M10" s="14">
        <f t="shared" si="1"/>
      </c>
    </row>
    <row r="12" spans="1:13" x14ac:dyDescent="0.3">
      <c r="B12" s="11" t="s">
        <v>62</v>
      </c>
      <c r="C12" s="21">
        <f t="shared" ref="C12:M12" si="2">C6-C9</f>
      </c>
      <c r="D12" s="21">
        <f t="shared" si="2"/>
      </c>
      <c r="E12" s="21">
        <f t="shared" si="2"/>
      </c>
      <c r="F12" s="21">
        <f t="shared" si="2"/>
      </c>
      <c r="G12" s="21">
        <f t="shared" si="2"/>
      </c>
      <c r="H12" s="21">
        <f t="shared" si="2"/>
      </c>
      <c r="I12" s="21">
        <f t="shared" si="2"/>
      </c>
      <c r="J12" s="21">
        <f t="shared" si="2"/>
      </c>
      <c r="K12" s="21">
        <f t="shared" si="2"/>
      </c>
      <c r="L12" s="21">
        <f t="shared" si="2"/>
      </c>
      <c r="M12" s="21">
        <f t="shared" si="2"/>
      </c>
    </row>
    <row r="13" spans="1:13" x14ac:dyDescent="0.3">
      <c r="B13" s="12" t="s">
        <v>68</v>
      </c>
      <c r="C13" s="15">
        <f>C12/C6</f>
      </c>
      <c r="D13" s="15">
        <f t="shared" ref="D13:M13" si="3">D12/D6</f>
      </c>
      <c r="E13" s="15">
        <f t="shared" si="3"/>
      </c>
      <c r="F13" s="15">
        <f t="shared" si="3"/>
      </c>
      <c r="G13" s="15">
        <f t="shared" si="3"/>
      </c>
      <c r="H13" s="15">
        <f t="shared" si="3"/>
      </c>
      <c r="I13" s="15">
        <f t="shared" si="3"/>
      </c>
      <c r="J13" s="15">
        <f t="shared" si="3"/>
      </c>
      <c r="K13" s="15">
        <f t="shared" si="3"/>
      </c>
      <c r="L13" s="15">
        <f t="shared" si="3"/>
      </c>
      <c r="M13" s="15">
        <f t="shared" si="3"/>
      </c>
    </row>
    <row r="15" spans="1:13" x14ac:dyDescent="0.3">
      <c r="B15" s="11" t="s">
        <v>63</v>
      </c>
      <c r="C15" s="21">
        <f>IFERROR(SUM('Data Sheet'!B23:B24),0)</f>
      </c>
      <c r="D15" s="21">
        <f>IFERROR(SUM('Data Sheet'!C23:C24),0)</f>
      </c>
      <c r="E15" s="21">
        <f>IFERROR(SUM('Data Sheet'!D23:D24),0)</f>
      </c>
      <c r="F15" s="21">
        <f>IFERROR(SUM('Data Sheet'!E23:E24),0)</f>
      </c>
      <c r="G15" s="21">
        <f>IFERROR(SUM('Data Sheet'!F23:F24),0)</f>
      </c>
      <c r="H15" s="21">
        <f>IFERROR(SUM('Data Sheet'!G23:G24),0)</f>
      </c>
      <c r="I15" s="21">
        <f>IFERROR(SUM('Data Sheet'!H23:H24),0)</f>
      </c>
      <c r="J15" s="21">
        <f>IFERROR(SUM('Data Sheet'!I23:I24),0)</f>
      </c>
      <c r="K15" s="21">
        <f>IFERROR(SUM('Data Sheet'!J23:J24),0)</f>
      </c>
      <c r="L15" s="21">
        <f>IFERROR(SUM('Data Sheet'!K23:K24),0)</f>
      </c>
    </row>
    <row r="16" spans="1:13" x14ac:dyDescent="0.3">
      <c r="B16" s="12" t="s">
        <v>64</v>
      </c>
      <c r="C16" s="15">
        <f t="shared" ref="C16:M16" si="4">C15/C6</f>
      </c>
      <c r="D16" s="14">
        <f t="shared" si="4"/>
      </c>
      <c r="E16" s="14">
        <f t="shared" si="4"/>
      </c>
      <c r="F16" s="14">
        <f t="shared" si="4"/>
      </c>
      <c r="G16" s="14">
        <f t="shared" si="4"/>
      </c>
      <c r="H16" s="14">
        <f t="shared" si="4"/>
      </c>
      <c r="I16" s="14">
        <f t="shared" si="4"/>
      </c>
      <c r="J16" s="14">
        <f t="shared" si="4"/>
      </c>
      <c r="K16" s="14">
        <f t="shared" si="4"/>
      </c>
      <c r="L16" s="14">
        <f t="shared" si="4"/>
      </c>
      <c r="M16" s="14">
        <f t="shared" si="4"/>
      </c>
    </row>
    <row r="18" spans="2:13" x14ac:dyDescent="0.3">
      <c r="B18" s="11" t="s">
        <v>65</v>
      </c>
      <c r="C18" s="21">
        <f t="shared" ref="C18:L18" si="5">C12-C15</f>
      </c>
      <c r="D18" s="21">
        <f t="shared" si="5"/>
      </c>
      <c r="E18" s="21">
        <f t="shared" si="5"/>
      </c>
      <c r="F18" s="21">
        <f t="shared" si="5"/>
      </c>
      <c r="G18" s="21">
        <f t="shared" si="5"/>
      </c>
      <c r="H18" s="21">
        <f t="shared" si="5"/>
      </c>
      <c r="I18" s="21">
        <f t="shared" si="5"/>
      </c>
      <c r="J18" s="21">
        <f t="shared" si="5"/>
      </c>
      <c r="K18" s="21">
        <f t="shared" si="5"/>
      </c>
      <c r="L18" s="21">
        <f t="shared" si="5"/>
      </c>
      <c r="M18" s="21">
        <f>IFERROR(SUM('Data Sheet'!H46:K46,'Data Sheet'!H48:K48,'Data Sheet'!H45:K45),0)</f>
      </c>
    </row>
    <row r="19" spans="2:13" x14ac:dyDescent="0.3">
      <c r="B19" s="12" t="s">
        <v>66</v>
      </c>
      <c r="C19" s="15">
        <f t="shared" ref="C19:M19" si="6">C18/C6</f>
      </c>
      <c r="D19" s="14">
        <f t="shared" si="6"/>
      </c>
      <c r="E19" s="14">
        <f t="shared" si="6"/>
      </c>
      <c r="F19" s="14">
        <f t="shared" si="6"/>
      </c>
      <c r="G19" s="14">
        <f t="shared" si="6"/>
      </c>
      <c r="H19" s="14">
        <f t="shared" si="6"/>
      </c>
      <c r="I19" s="14">
        <f t="shared" si="6"/>
      </c>
      <c r="J19" s="14">
        <f t="shared" si="6"/>
      </c>
      <c r="K19" s="14">
        <f t="shared" si="6"/>
      </c>
      <c r="L19" s="14">
        <f t="shared" si="6"/>
      </c>
      <c r="M19" s="14">
        <f t="shared" si="6"/>
      </c>
    </row>
    <row r="21" spans="2:13" x14ac:dyDescent="0.3">
      <c r="B21" s="11" t="s">
        <v>22</v>
      </c>
      <c r="C21" s="21">
        <f>IFERROR(SUM('Data Sheet'!B27),0)</f>
      </c>
      <c r="D21" s="21">
        <f>IFERROR(SUM('Data Sheet'!C27),0)</f>
      </c>
      <c r="E21" s="21">
        <f>IFERROR(SUM('Data Sheet'!D27),0)</f>
      </c>
      <c r="F21" s="21">
        <f>IFERROR(SUM('Data Sheet'!E27),0)</f>
      </c>
      <c r="G21" s="21">
        <f>IFERROR(SUM('Data Sheet'!F27),0)</f>
      </c>
      <c r="H21" s="21">
        <f>IFERROR(SUM('Data Sheet'!G27),0)</f>
      </c>
      <c r="I21" s="21">
        <f>IFERROR(SUM('Data Sheet'!H27),0)</f>
      </c>
      <c r="J21" s="21">
        <f>IFERROR(SUM('Data Sheet'!I27),0)</f>
      </c>
      <c r="K21" s="21">
        <f>IFERROR(SUM('Data Sheet'!J27),0)</f>
      </c>
      <c r="L21" s="21">
        <f>IFERROR(SUM('Data Sheet'!K27),0)</f>
      </c>
      <c r="M21" s="21">
        <f>IFERROR(SUM('Data Sheet'!H46:K46),0)</f>
      </c>
    </row>
    <row r="22" spans="2:13" x14ac:dyDescent="0.3">
      <c r="B22" s="12" t="s">
        <v>67</v>
      </c>
      <c r="C22" s="15">
        <f t="shared" ref="C22:M22" si="7">C21/C6</f>
      </c>
      <c r="D22" s="14">
        <f t="shared" si="7"/>
      </c>
      <c r="E22" s="14">
        <f t="shared" si="7"/>
      </c>
      <c r="F22" s="14">
        <f t="shared" si="7"/>
      </c>
      <c r="G22" s="14">
        <f t="shared" si="7"/>
      </c>
      <c r="H22" s="14">
        <f t="shared" si="7"/>
      </c>
      <c r="I22" s="14">
        <f t="shared" si="7"/>
      </c>
      <c r="J22" s="14">
        <f t="shared" si="7"/>
      </c>
      <c r="K22" s="14">
        <f t="shared" si="7"/>
      </c>
      <c r="L22" s="14">
        <f t="shared" si="7"/>
      </c>
      <c r="M22" s="14">
        <f t="shared" si="7"/>
      </c>
    </row>
    <row r="24" spans="2:13" x14ac:dyDescent="0.3">
      <c r="B24" s="11" t="s">
        <v>21</v>
      </c>
      <c r="C24" s="21">
        <f>IFERROR('Data Sheet'!B26,0)</f>
      </c>
      <c r="D24" s="21">
        <f>IFERROR('Data Sheet'!C26,0)</f>
      </c>
      <c r="E24" s="21">
        <f>IFERROR('Data Sheet'!D26,0)</f>
      </c>
      <c r="F24" s="21">
        <f>IFERROR('Data Sheet'!E26,0)</f>
      </c>
      <c r="G24" s="21">
        <f>IFERROR('Data Sheet'!F26,0)</f>
      </c>
      <c r="H24" s="21">
        <f>IFERROR('Data Sheet'!G26,0)</f>
      </c>
      <c r="I24" s="21">
        <f>IFERROR('Data Sheet'!H26,0)</f>
      </c>
      <c r="J24" s="21">
        <f>IFERROR('Data Sheet'!I26,0)</f>
      </c>
      <c r="K24" s="21">
        <f>IFERROR('Data Sheet'!J26,0)</f>
      </c>
      <c r="L24" s="21">
        <f>IFERROR('Data Sheet'!K26,0)</f>
      </c>
      <c r="M24" s="21">
        <f>IFERROR(SUM('Data Sheet'!H45:K45),0)</f>
      </c>
    </row>
    <row r="25" spans="2:13" x14ac:dyDescent="0.3">
      <c r="B25" s="12" t="s">
        <v>69</v>
      </c>
      <c r="C25" s="15">
        <f>C24/C6</f>
      </c>
      <c r="D25" s="15">
        <f t="shared" ref="D25:L25" si="8">D24/D6</f>
      </c>
      <c r="E25" s="15">
        <f t="shared" si="8"/>
      </c>
      <c r="F25" s="15">
        <f t="shared" si="8"/>
      </c>
      <c r="G25" s="15">
        <f t="shared" si="8"/>
      </c>
      <c r="H25" s="15">
        <f t="shared" si="8"/>
      </c>
      <c r="I25" s="15">
        <f t="shared" si="8"/>
      </c>
      <c r="J25" s="15">
        <f t="shared" si="8"/>
      </c>
      <c r="K25" s="15">
        <f t="shared" si="8"/>
      </c>
      <c r="L25" s="15">
        <f t="shared" si="8"/>
      </c>
      <c r="M25" s="15">
        <f t="shared" ref="M25" si="9">M24/M6</f>
      </c>
    </row>
    <row r="27" spans="2:13" x14ac:dyDescent="0.3">
      <c r="B27" s="11" t="s">
        <v>70</v>
      </c>
      <c r="C27" s="21">
        <f>IFERROR(SUM(C18,C21,C24),0)</f>
      </c>
      <c r="D27" s="21">
        <f t="shared" ref="D27:M27" si="10">IFERROR(SUM(D18,D21,D24),0)</f>
      </c>
      <c r="E27" s="21">
        <f t="shared" si="10"/>
      </c>
      <c r="F27" s="21">
        <f t="shared" si="10"/>
      </c>
      <c r="G27" s="21">
        <f t="shared" si="10"/>
      </c>
      <c r="H27" s="21">
        <f t="shared" si="10"/>
      </c>
      <c r="I27" s="21">
        <f t="shared" si="10"/>
      </c>
      <c r="J27" s="21">
        <f t="shared" si="10"/>
      </c>
      <c r="K27" s="21">
        <f t="shared" si="10"/>
      </c>
      <c r="L27" s="21">
        <f t="shared" si="10"/>
      </c>
      <c r="M27" s="21">
        <f t="shared" si="10"/>
      </c>
    </row>
    <row r="28" spans="2:13" x14ac:dyDescent="0.3">
      <c r="B28" s="12" t="s">
        <v>71</v>
      </c>
      <c r="C28" s="15">
        <f>C27/C6</f>
      </c>
      <c r="D28" s="15">
        <f t="shared" ref="D28:L28" si="11">D27/D6</f>
      </c>
      <c r="E28" s="15">
        <f t="shared" si="11"/>
      </c>
      <c r="F28" s="15">
        <f t="shared" si="11"/>
      </c>
      <c r="G28" s="15">
        <f t="shared" si="11"/>
      </c>
      <c r="H28" s="15">
        <f t="shared" si="11"/>
      </c>
      <c r="I28" s="15">
        <f t="shared" si="11"/>
      </c>
      <c r="J28" s="15">
        <f t="shared" si="11"/>
      </c>
      <c r="K28" s="15">
        <f t="shared" si="11"/>
      </c>
      <c r="L28" s="15">
        <f t="shared" si="11"/>
      </c>
      <c r="M28" s="15">
        <f t="shared" ref="M28" si="12">M27/M6</f>
      </c>
    </row>
    <row r="30" spans="2:13" x14ac:dyDescent="0.3">
      <c r="B30" s="11" t="s">
        <v>24</v>
      </c>
      <c r="C30" s="21">
        <f>IFERROR('Data Sheet'!B29,0)</f>
      </c>
      <c r="D30" s="21">
        <f>IFERROR('Data Sheet'!C29,0)</f>
      </c>
      <c r="E30" s="21">
        <f>IFERROR('Data Sheet'!D29,0)</f>
      </c>
      <c r="F30" s="21">
        <f>IFERROR('Data Sheet'!E29,0)</f>
      </c>
      <c r="G30" s="21">
        <f>IFERROR('Data Sheet'!F29,0)</f>
      </c>
      <c r="H30" s="21">
        <f>IFERROR('Data Sheet'!G29,0)</f>
      </c>
      <c r="I30" s="21">
        <f>IFERROR('Data Sheet'!H29,0)</f>
      </c>
      <c r="J30" s="21">
        <f>IFERROR('Data Sheet'!I29,0)</f>
      </c>
      <c r="K30" s="21">
        <f>IFERROR('Data Sheet'!J29,0)</f>
      </c>
      <c r="L30" s="21">
        <f>IFERROR('Data Sheet'!K29,0)</f>
      </c>
      <c r="M30" s="21">
        <f>IFERROR(SUM('Data Sheet'!H48:K48),0)</f>
      </c>
    </row>
    <row r="31" spans="2:13" x14ac:dyDescent="0.3">
      <c r="B31" s="12" t="s">
        <v>72</v>
      </c>
      <c r="C31" s="15">
        <f>C30/C27</f>
      </c>
      <c r="D31" s="15">
        <f t="shared" ref="D31:M31" si="13">D30/D27</f>
      </c>
      <c r="E31" s="15">
        <f t="shared" si="13"/>
      </c>
      <c r="F31" s="15">
        <f t="shared" si="13"/>
      </c>
      <c r="G31" s="15">
        <f t="shared" si="13"/>
      </c>
      <c r="H31" s="15">
        <f t="shared" si="13"/>
      </c>
      <c r="I31" s="15">
        <f t="shared" si="13"/>
      </c>
      <c r="J31" s="15">
        <f t="shared" si="13"/>
      </c>
      <c r="K31" s="15">
        <f t="shared" si="13"/>
      </c>
      <c r="L31" s="15">
        <f t="shared" si="13"/>
      </c>
      <c r="M31" s="15">
        <f t="shared" si="13"/>
      </c>
    </row>
    <row r="33" spans="1:13" x14ac:dyDescent="0.3">
      <c r="B33" s="11" t="s">
        <v>73</v>
      </c>
      <c r="C33" s="21">
        <f>IFERROR(C27-C30,0)</f>
      </c>
      <c r="D33" s="21">
        <f t="shared" ref="D33:M33" si="14">IFERROR(D27-D30,0)</f>
      </c>
      <c r="E33" s="21">
        <f t="shared" si="14"/>
      </c>
      <c r="F33" s="21">
        <f t="shared" si="14"/>
      </c>
      <c r="G33" s="21">
        <f t="shared" si="14"/>
      </c>
      <c r="H33" s="21">
        <f t="shared" si="14"/>
      </c>
      <c r="I33" s="21">
        <f t="shared" si="14"/>
      </c>
      <c r="J33" s="21">
        <f t="shared" si="14"/>
      </c>
      <c r="K33" s="21">
        <f t="shared" si="14"/>
      </c>
      <c r="L33" s="21">
        <f t="shared" si="14"/>
      </c>
      <c r="M33" s="21">
        <f t="shared" si="14"/>
      </c>
    </row>
    <row r="34" spans="1:13" x14ac:dyDescent="0.3">
      <c r="B34" s="12" t="s">
        <v>74</v>
      </c>
      <c r="C34" s="15">
        <f>C33/C6</f>
      </c>
      <c r="D34" s="15">
        <f t="shared" ref="D34:M34" si="15">D33/D6</f>
      </c>
      <c r="E34" s="15">
        <f t="shared" si="15"/>
      </c>
      <c r="F34" s="15">
        <f t="shared" si="15"/>
      </c>
      <c r="G34" s="15">
        <f t="shared" si="15"/>
      </c>
      <c r="H34" s="15">
        <f t="shared" si="15"/>
      </c>
      <c r="I34" s="15">
        <f t="shared" si="15"/>
      </c>
      <c r="J34" s="15">
        <f t="shared" si="15"/>
      </c>
      <c r="K34" s="15">
        <f t="shared" si="15"/>
      </c>
      <c r="L34" s="15">
        <f t="shared" si="15"/>
      </c>
      <c r="M34" s="15">
        <f t="shared" si="15"/>
      </c>
    </row>
    <row r="36" spans="1:13" x14ac:dyDescent="0.3">
      <c r="B36" s="11" t="s">
        <v>75</v>
      </c>
      <c r="C36" s="22">
        <f>IFERROR('Data Sheet'!B93,0)</f>
      </c>
      <c r="D36" s="22">
        <f>IFERROR('Data Sheet'!C93,0)</f>
      </c>
      <c r="E36" s="22">
        <f>IFERROR('Data Sheet'!D93,0)</f>
      </c>
      <c r="F36" s="22">
        <f>IFERROR('Data Sheet'!E93,0)</f>
      </c>
      <c r="G36" s="22">
        <f>IFERROR('Data Sheet'!F93,0)</f>
      </c>
      <c r="H36" s="22">
        <f>IFERROR('Data Sheet'!G93,0)</f>
      </c>
      <c r="I36" s="22">
        <f>IFERROR('Data Sheet'!H93,0)</f>
      </c>
      <c r="J36" s="22">
        <f>IFERROR('Data Sheet'!I93,0)</f>
      </c>
      <c r="K36" s="22">
        <f>IFERROR('Data Sheet'!J93,0)</f>
      </c>
      <c r="L36" s="22">
        <f>IFERROR('Data Sheet'!K93,0)</f>
      </c>
      <c r="M36" s="22">
        <f>IFERROR('Data Sheet'!L93,0)</f>
      </c>
    </row>
    <row r="38" spans="1:13" x14ac:dyDescent="0.3">
      <c r="B38" s="11" t="s">
        <v>76</v>
      </c>
      <c r="C38" s="22">
        <f>IFERROR(C33/C36,0)</f>
      </c>
      <c r="D38" s="22">
        <f t="shared" ref="D38:M38" si="16">IFERROR(D33/D36,0)</f>
      </c>
      <c r="E38" s="22">
        <f t="shared" si="16"/>
      </c>
      <c r="F38" s="22">
        <f t="shared" si="16"/>
      </c>
      <c r="G38" s="22">
        <f t="shared" si="16"/>
      </c>
      <c r="H38" s="22">
        <f t="shared" si="16"/>
      </c>
      <c r="I38" s="22">
        <f t="shared" si="16"/>
      </c>
      <c r="J38" s="22">
        <f t="shared" si="16"/>
      </c>
      <c r="K38" s="22">
        <f t="shared" si="16"/>
      </c>
      <c r="L38" s="22">
        <f t="shared" si="16"/>
      </c>
      <c r="M38" s="22">
        <f t="shared" si="16"/>
      </c>
    </row>
    <row r="39" spans="1:13" x14ac:dyDescent="0.3">
      <c r="B39" s="12" t="s">
        <v>78</v>
      </c>
      <c r="C39" s="15"/>
      <c r="D39" s="15">
        <f>IFERROR(D38/C38-1,0)</f>
      </c>
      <c r="E39" s="15">
        <f t="shared" ref="E39:M39" si="17">IFERROR(E38/D38-1,0)</f>
      </c>
      <c r="F39" s="15">
        <f t="shared" si="17"/>
      </c>
      <c r="G39" s="15">
        <f t="shared" si="17"/>
      </c>
      <c r="H39" s="15">
        <f t="shared" si="17"/>
      </c>
      <c r="I39" s="15">
        <f t="shared" si="17"/>
      </c>
      <c r="J39" s="15">
        <f t="shared" si="17"/>
      </c>
      <c r="K39" s="15">
        <f t="shared" si="17"/>
      </c>
      <c r="L39" s="15">
        <f t="shared" si="17"/>
      </c>
      <c r="M39" s="15">
        <f t="shared" si="17"/>
      </c>
    </row>
    <row r="41" spans="1:13" x14ac:dyDescent="0.3">
      <c r="B41" s="11" t="s">
        <v>77</v>
      </c>
      <c r="C41" s="22">
        <f>IFERROR('Data Sheet'!B31/HistoricalFS!C36,0)</f>
      </c>
      <c r="D41" s="22">
        <f>IFERROR('Data Sheet'!C31/HistoricalFS!D36,0)</f>
      </c>
      <c r="E41" s="22">
        <f>IFERROR('Data Sheet'!D31/HistoricalFS!E36,0)</f>
      </c>
      <c r="F41" s="22">
        <f>IFERROR('Data Sheet'!E31/HistoricalFS!F36,0)</f>
      </c>
      <c r="G41" s="22">
        <f>IFERROR('Data Sheet'!F31/HistoricalFS!G36,0)</f>
      </c>
      <c r="H41" s="22">
        <f>IFERROR('Data Sheet'!G31/HistoricalFS!H36,0)</f>
      </c>
      <c r="I41" s="22">
        <f>IFERROR('Data Sheet'!H31/HistoricalFS!I36,0)</f>
      </c>
      <c r="J41" s="22">
        <f>IFERROR('Data Sheet'!I31/HistoricalFS!J36,0)</f>
      </c>
      <c r="K41" s="22">
        <f>IFERROR('Data Sheet'!J31/HistoricalFS!K36,0)</f>
      </c>
      <c r="L41" s="22">
        <f>IFERROR('Data Sheet'!K31/HistoricalFS!L36,0)</f>
      </c>
      <c r="M41" s="22">
        <f>IFERROR('Data Sheet'!L31/HistoricalFS!M36,0)</f>
      </c>
    </row>
    <row r="42" spans="1:13" x14ac:dyDescent="0.3">
      <c r="B42" s="12" t="s">
        <v>79</v>
      </c>
      <c r="C42" s="15">
        <f>IFERROR(C41/C38,0)</f>
      </c>
      <c r="D42" s="15">
        <f t="shared" ref="D42:M42" si="18">IFERROR(D41/D38,0)</f>
      </c>
      <c r="E42" s="15">
        <f t="shared" si="18"/>
      </c>
      <c r="F42" s="15">
        <f t="shared" si="18"/>
      </c>
      <c r="G42" s="15">
        <f t="shared" si="18"/>
      </c>
      <c r="H42" s="15">
        <f t="shared" si="18"/>
      </c>
      <c r="I42" s="15">
        <f t="shared" si="18"/>
      </c>
      <c r="J42" s="15">
        <f t="shared" si="18"/>
      </c>
      <c r="K42" s="15">
        <f t="shared" si="18"/>
      </c>
      <c r="L42" s="15">
        <f t="shared" si="18"/>
      </c>
      <c r="M42" s="15">
        <f t="shared" si="18"/>
      </c>
    </row>
    <row r="44" spans="1:13" x14ac:dyDescent="0.3">
      <c r="B44" s="11" t="s">
        <v>80</v>
      </c>
      <c r="C44" s="23">
        <f>IFERROR(IF(C38&gt;C41,1-D42,0),0)</f>
      </c>
      <c r="D44" s="23">
        <f t="shared" ref="D44:M44" si="19">IFERROR(IF(D38&gt;D41,1-E42,0),0)</f>
      </c>
      <c r="E44" s="23">
        <f t="shared" si="19"/>
      </c>
      <c r="F44" s="23">
        <f t="shared" si="19"/>
      </c>
      <c r="G44" s="23">
        <f t="shared" si="19"/>
      </c>
      <c r="H44" s="23">
        <f t="shared" si="19"/>
      </c>
      <c r="I44" s="23">
        <f t="shared" si="19"/>
      </c>
      <c r="J44" s="23">
        <f t="shared" si="19"/>
      </c>
      <c r="K44" s="23">
        <f t="shared" si="19"/>
      </c>
      <c r="L44" s="23">
        <f t="shared" si="19"/>
      </c>
      <c r="M44" s="23">
        <f t="shared" si="19"/>
      </c>
    </row>
    <row r="47" spans="1:13" x14ac:dyDescent="0.3">
      <c r="A47" s="7" t="s">
        <v>56</v>
      </c>
      <c r="B47" s="19" t="s">
        <v>81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x14ac:dyDescent="0.3">
      <c r="B48" s="1" t="s">
        <v>31</v>
      </c>
      <c r="C48" s="22">
        <f>IFERROR('Data Sheet'!B57,0)</f>
      </c>
      <c r="D48" s="22">
        <f>IFERROR('Data Sheet'!C57,0)</f>
      </c>
      <c r="E48" s="22">
        <f>IFERROR('Data Sheet'!D57,0)</f>
      </c>
      <c r="F48" s="22">
        <f>IFERROR('Data Sheet'!E57,0)</f>
      </c>
      <c r="G48" s="22">
        <f>IFERROR('Data Sheet'!F57,0)</f>
      </c>
      <c r="H48" s="22">
        <f>IFERROR('Data Sheet'!G57,0)</f>
      </c>
      <c r="I48" s="22">
        <f>IFERROR('Data Sheet'!H57,0)</f>
      </c>
      <c r="J48" s="22">
        <f>IFERROR('Data Sheet'!I57,0)</f>
      </c>
      <c r="K48" s="22">
        <f>IFERROR('Data Sheet'!J57,0)</f>
      </c>
      <c r="L48" s="22">
        <f>IFERROR('Data Sheet'!K57,0)</f>
      </c>
    </row>
    <row r="49" spans="2:12" x14ac:dyDescent="0.3">
      <c r="B49" s="1" t="s">
        <v>32</v>
      </c>
      <c r="C49" s="22">
        <f>IFERROR('Data Sheet'!B58,0)</f>
      </c>
      <c r="D49" s="22">
        <f>IFERROR('Data Sheet'!C58,0)</f>
      </c>
      <c r="E49" s="22">
        <f>IFERROR('Data Sheet'!D58,0)</f>
      </c>
      <c r="F49" s="22">
        <f>IFERROR('Data Sheet'!E58,0)</f>
      </c>
      <c r="G49" s="22">
        <f>IFERROR('Data Sheet'!F58,0)</f>
      </c>
      <c r="H49" s="22">
        <f>IFERROR('Data Sheet'!G58,0)</f>
      </c>
      <c r="I49" s="22">
        <f>IFERROR('Data Sheet'!H58,0)</f>
      </c>
      <c r="J49" s="22">
        <f>IFERROR('Data Sheet'!I58,0)</f>
      </c>
      <c r="K49" s="22">
        <f>IFERROR('Data Sheet'!J58,0)</f>
      </c>
      <c r="L49" s="22">
        <f>IFERROR('Data Sheet'!K58,0)</f>
      </c>
    </row>
    <row r="50" spans="2:12" x14ac:dyDescent="0.3">
      <c r="B50" s="1" t="s">
        <v>33</v>
      </c>
      <c r="C50" s="22">
        <f>IFERROR('Data Sheet'!B59,0)</f>
      </c>
      <c r="D50" s="22">
        <f>IFERROR('Data Sheet'!C59,0)</f>
      </c>
      <c r="E50" s="22">
        <f>IFERROR('Data Sheet'!D59,0)</f>
      </c>
      <c r="F50" s="22">
        <f>IFERROR('Data Sheet'!E59,0)</f>
      </c>
      <c r="G50" s="22">
        <f>IFERROR('Data Sheet'!F59,0)</f>
      </c>
      <c r="H50" s="22">
        <f>IFERROR('Data Sheet'!G59,0)</f>
      </c>
      <c r="I50" s="22">
        <f>IFERROR('Data Sheet'!H59,0)</f>
      </c>
      <c r="J50" s="22">
        <f>IFERROR('Data Sheet'!I59,0)</f>
      </c>
      <c r="K50" s="22">
        <f>IFERROR('Data Sheet'!J59,0)</f>
      </c>
      <c r="L50" s="22">
        <f>IFERROR('Data Sheet'!K59,0)</f>
      </c>
    </row>
    <row r="51" spans="2:12" x14ac:dyDescent="0.3">
      <c r="B51" s="1" t="s">
        <v>34</v>
      </c>
      <c r="C51" s="22">
        <f>IFERROR('Data Sheet'!B60,0)</f>
      </c>
      <c r="D51" s="22">
        <f>IFERROR('Data Sheet'!C60,0)</f>
      </c>
      <c r="E51" s="22">
        <f>IFERROR('Data Sheet'!D60,0)</f>
      </c>
      <c r="F51" s="22">
        <f>IFERROR('Data Sheet'!E60,0)</f>
      </c>
      <c r="G51" s="22">
        <f>IFERROR('Data Sheet'!F60,0)</f>
      </c>
      <c r="H51" s="22">
        <f>IFERROR('Data Sheet'!G60,0)</f>
      </c>
      <c r="I51" s="22">
        <f>IFERROR('Data Sheet'!H60,0)</f>
      </c>
      <c r="J51" s="22">
        <f>IFERROR('Data Sheet'!I60,0)</f>
      </c>
      <c r="K51" s="22">
        <f>IFERROR('Data Sheet'!J60,0)</f>
      </c>
      <c r="L51" s="22">
        <f>IFERROR('Data Sheet'!K60,0)</f>
      </c>
    </row>
    <row r="52" spans="2:12" x14ac:dyDescent="0.3">
      <c r="B52" s="1" t="s">
        <v>82</v>
      </c>
      <c r="C52" s="22">
        <f>IFERROR('Data Sheet'!B61,0)</f>
      </c>
      <c r="D52" s="22">
        <f>IFERROR('Data Sheet'!C61,0)</f>
      </c>
      <c r="E52" s="22">
        <f>IFERROR('Data Sheet'!D61,0)</f>
      </c>
      <c r="F52" s="22">
        <f>IFERROR('Data Sheet'!E61,0)</f>
      </c>
      <c r="G52" s="22">
        <f>IFERROR('Data Sheet'!F61,0)</f>
      </c>
      <c r="H52" s="22">
        <f>IFERROR('Data Sheet'!G61,0)</f>
      </c>
      <c r="I52" s="22">
        <f>IFERROR('Data Sheet'!H61,0)</f>
      </c>
      <c r="J52" s="22">
        <f>IFERROR('Data Sheet'!I61,0)</f>
      </c>
      <c r="K52" s="22">
        <f>IFERROR('Data Sheet'!J61,0)</f>
      </c>
      <c r="L52" s="22">
        <f>IFERROR('Data Sheet'!K61,0)</f>
      </c>
    </row>
    <row r="53" spans="2:12" x14ac:dyDescent="0.3">
      <c r="B53" s="1"/>
    </row>
    <row r="54" spans="2:12" x14ac:dyDescent="0.3">
      <c r="B54" s="1" t="s">
        <v>84</v>
      </c>
      <c r="C54" s="22">
        <f>IFERROR('Data Sheet'!B62,0)</f>
      </c>
      <c r="D54" s="22">
        <f>IFERROR('Data Sheet'!C62,0)</f>
      </c>
      <c r="E54" s="22">
        <f>IFERROR('Data Sheet'!D62,0)</f>
      </c>
      <c r="F54" s="22">
        <f>IFERROR('Data Sheet'!E62,0)</f>
      </c>
      <c r="G54" s="22">
        <f>IFERROR('Data Sheet'!F62,0)</f>
      </c>
      <c r="H54" s="22">
        <f>IFERROR('Data Sheet'!G62,0)</f>
      </c>
      <c r="I54" s="22">
        <f>IFERROR('Data Sheet'!H62,0)</f>
      </c>
      <c r="J54" s="22">
        <f>IFERROR('Data Sheet'!I62,0)</f>
      </c>
      <c r="K54" s="22">
        <f>IFERROR('Data Sheet'!J62,0)</f>
      </c>
      <c r="L54" s="22">
        <f>IFERROR('Data Sheet'!K62,0)</f>
      </c>
    </row>
    <row r="55" spans="2:12" x14ac:dyDescent="0.3">
      <c r="B55" s="1" t="s">
        <v>37</v>
      </c>
      <c r="C55" s="22">
        <f>IFERROR('Data Sheet'!B63,0)</f>
      </c>
      <c r="D55" s="22">
        <f>IFERROR('Data Sheet'!C63,0)</f>
      </c>
      <c r="E55" s="22">
        <f>IFERROR('Data Sheet'!D63,0)</f>
      </c>
      <c r="F55" s="22">
        <f>IFERROR('Data Sheet'!E63,0)</f>
      </c>
      <c r="G55" s="22">
        <f>IFERROR('Data Sheet'!F63,0)</f>
      </c>
      <c r="H55" s="22">
        <f>IFERROR('Data Sheet'!G63,0)</f>
      </c>
      <c r="I55" s="22">
        <f>IFERROR('Data Sheet'!H63,0)</f>
      </c>
      <c r="J55" s="22">
        <f>IFERROR('Data Sheet'!I63,0)</f>
      </c>
      <c r="K55" s="22">
        <f>IFERROR('Data Sheet'!J63,0)</f>
      </c>
      <c r="L55" s="22">
        <f>IFERROR('Data Sheet'!K63,0)</f>
      </c>
    </row>
    <row r="56" spans="2:12" x14ac:dyDescent="0.3">
      <c r="B56" s="1" t="s">
        <v>38</v>
      </c>
      <c r="C56" s="22">
        <f>IFERROR('Data Sheet'!B64,0)</f>
      </c>
      <c r="D56" s="22">
        <f>IFERROR('Data Sheet'!C64,0)</f>
      </c>
      <c r="E56" s="22">
        <f>IFERROR('Data Sheet'!D64,0)</f>
      </c>
      <c r="F56" s="22">
        <f>IFERROR('Data Sheet'!E64,0)</f>
      </c>
      <c r="G56" s="22">
        <f>IFERROR('Data Sheet'!F64,0)</f>
      </c>
      <c r="H56" s="22">
        <f>IFERROR('Data Sheet'!G64,0)</f>
      </c>
      <c r="I56" s="22">
        <f>IFERROR('Data Sheet'!H64,0)</f>
      </c>
      <c r="J56" s="22">
        <f>IFERROR('Data Sheet'!I64,0)</f>
      </c>
      <c r="K56" s="22">
        <f>IFERROR('Data Sheet'!J64,0)</f>
      </c>
      <c r="L56" s="22">
        <f>IFERROR('Data Sheet'!K64,0)</f>
      </c>
    </row>
    <row r="57" spans="2:12" x14ac:dyDescent="0.3">
      <c r="B57" s="1" t="s">
        <v>39</v>
      </c>
      <c r="C57" s="22">
        <f>IFERROR('Data Sheet'!B65-SUM('Data Sheet'!B67:B69),0)</f>
      </c>
      <c r="D57" s="22">
        <f>IFERROR('Data Sheet'!C65-SUM('Data Sheet'!C67:C69),0)</f>
      </c>
      <c r="E57" s="22">
        <f>IFERROR('Data Sheet'!D65-SUM('Data Sheet'!D67:D69),0)</f>
      </c>
      <c r="F57" s="22">
        <f>IFERROR('Data Sheet'!E65-SUM('Data Sheet'!E67:E69),0)</f>
      </c>
      <c r="G57" s="22">
        <f>IFERROR('Data Sheet'!F65-SUM('Data Sheet'!F67:F69),0)</f>
      </c>
      <c r="H57" s="22">
        <f>IFERROR('Data Sheet'!G65-SUM('Data Sheet'!G67:G69),0)</f>
      </c>
      <c r="I57" s="22">
        <f>IFERROR('Data Sheet'!H65-SUM('Data Sheet'!H67:H69),0)</f>
      </c>
      <c r="J57" s="22">
        <f>IFERROR('Data Sheet'!I65-SUM('Data Sheet'!I67:I69),0)</f>
      </c>
      <c r="K57" s="22">
        <f>IFERROR('Data Sheet'!J65-SUM('Data Sheet'!J67:J69),0)</f>
      </c>
      <c r="L57" s="22">
        <f>IFERROR('Data Sheet'!K65-SUM('Data Sheet'!K67:K69),0)</f>
      </c>
    </row>
    <row r="58" spans="2:12" x14ac:dyDescent="0.3">
      <c r="B58" s="1" t="s">
        <v>83</v>
      </c>
      <c r="C58" s="22">
        <f>SUM(C54:C57)</f>
      </c>
      <c r="D58" s="22">
        <f t="shared" ref="D58:L58" si="20">SUM(D54:D57)</f>
      </c>
      <c r="E58" s="22">
        <f t="shared" si="20"/>
      </c>
      <c r="F58" s="22">
        <f t="shared" si="20"/>
      </c>
      <c r="G58" s="22">
        <f t="shared" si="20"/>
      </c>
      <c r="H58" s="22">
        <f t="shared" si="20"/>
      </c>
      <c r="I58" s="22">
        <f t="shared" si="20"/>
      </c>
      <c r="J58" s="22">
        <f t="shared" si="20"/>
      </c>
      <c r="K58" s="22">
        <f t="shared" si="20"/>
      </c>
      <c r="L58" s="22">
        <f t="shared" si="20"/>
      </c>
    </row>
    <row r="59" spans="2:12" x14ac:dyDescent="0.3">
      <c r="B59" s="1"/>
    </row>
    <row r="60" spans="2:12" x14ac:dyDescent="0.3">
      <c r="B60" s="1" t="s">
        <v>40</v>
      </c>
      <c r="C60" s="22">
        <f>IFERROR('Data Sheet'!B67,0)</f>
      </c>
      <c r="D60" s="22">
        <f>IFERROR('Data Sheet'!C67,0)</f>
      </c>
      <c r="E60" s="22">
        <f>IFERROR('Data Sheet'!D67,0)</f>
      </c>
      <c r="F60" s="22">
        <f>IFERROR('Data Sheet'!E67,0)</f>
      </c>
      <c r="G60" s="22">
        <f>IFERROR('Data Sheet'!F67,0)</f>
      </c>
      <c r="H60" s="22">
        <f>IFERROR('Data Sheet'!G67,0)</f>
      </c>
      <c r="I60" s="22">
        <f>IFERROR('Data Sheet'!H67,0)</f>
      </c>
      <c r="J60" s="22">
        <f>IFERROR('Data Sheet'!I67,0)</f>
      </c>
      <c r="K60" s="22">
        <f>IFERROR('Data Sheet'!J67,0)</f>
      </c>
      <c r="L60" s="22">
        <f>IFERROR('Data Sheet'!K67,0)</f>
      </c>
    </row>
    <row r="61" spans="2:12" x14ac:dyDescent="0.3">
      <c r="B61" s="1" t="s">
        <v>41</v>
      </c>
      <c r="C61" s="22">
        <f>IFERROR('Data Sheet'!B68,0)</f>
      </c>
      <c r="D61" s="22">
        <f>IFERROR('Data Sheet'!C68,0)</f>
      </c>
      <c r="E61" s="22">
        <f>IFERROR('Data Sheet'!D68,0)</f>
      </c>
      <c r="F61" s="22">
        <f>IFERROR('Data Sheet'!E68,0)</f>
      </c>
      <c r="G61" s="22">
        <f>IFERROR('Data Sheet'!F68,0)</f>
      </c>
      <c r="H61" s="22">
        <f>IFERROR('Data Sheet'!G68,0)</f>
      </c>
      <c r="I61" s="22">
        <f>IFERROR('Data Sheet'!H68,0)</f>
      </c>
      <c r="J61" s="22">
        <f>IFERROR('Data Sheet'!I68,0)</f>
      </c>
      <c r="K61" s="22">
        <f>IFERROR('Data Sheet'!J68,0)</f>
      </c>
      <c r="L61" s="22">
        <f>IFERROR('Data Sheet'!K68,0)</f>
      </c>
    </row>
    <row r="62" spans="2:12" x14ac:dyDescent="0.3">
      <c r="B62" s="1" t="s">
        <v>42</v>
      </c>
      <c r="C62" s="22">
        <f>IFERROR('Data Sheet'!B69,0)</f>
      </c>
      <c r="D62" s="22">
        <f>IFERROR('Data Sheet'!C69,0)</f>
      </c>
      <c r="E62" s="22">
        <f>IFERROR('Data Sheet'!D69,0)</f>
      </c>
      <c r="F62" s="22">
        <f>IFERROR('Data Sheet'!E69,0)</f>
      </c>
      <c r="G62" s="22">
        <f>IFERROR('Data Sheet'!F69,0)</f>
      </c>
      <c r="H62" s="22">
        <f>IFERROR('Data Sheet'!G69,0)</f>
      </c>
      <c r="I62" s="22">
        <f>IFERROR('Data Sheet'!H69,0)</f>
      </c>
      <c r="J62" s="22">
        <f>IFERROR('Data Sheet'!I69,0)</f>
      </c>
      <c r="K62" s="22">
        <f>IFERROR('Data Sheet'!J69,0)</f>
      </c>
      <c r="L62" s="22">
        <f>IFERROR('Data Sheet'!K69,0)</f>
      </c>
    </row>
    <row r="63" spans="2:12" x14ac:dyDescent="0.3">
      <c r="B63" s="1" t="s">
        <v>85</v>
      </c>
      <c r="C63" s="22">
        <f>IFERROR(SUM(C60:C62),0)</f>
      </c>
      <c r="D63" s="22">
        <f t="shared" ref="D63:L63" si="21">IFERROR(SUM(D60:D62),0)</f>
      </c>
      <c r="E63" s="22">
        <f t="shared" si="21"/>
      </c>
      <c r="F63" s="22">
        <f t="shared" si="21"/>
      </c>
      <c r="G63" s="22">
        <f t="shared" si="21"/>
      </c>
      <c r="H63" s="22">
        <f t="shared" si="21"/>
      </c>
      <c r="I63" s="22">
        <f t="shared" si="21"/>
      </c>
      <c r="J63" s="22">
        <f t="shared" si="21"/>
      </c>
      <c r="K63" s="22">
        <f t="shared" si="21"/>
      </c>
      <c r="L63" s="22">
        <f t="shared" si="21"/>
      </c>
    </row>
    <row r="65" spans="1:13" x14ac:dyDescent="0.3">
      <c r="B65" s="1" t="s">
        <v>86</v>
      </c>
      <c r="C65" s="22">
        <f>IFERROR(C63+C58,0)</f>
      </c>
      <c r="D65" s="22">
        <f t="shared" ref="D65:L65" si="22">IFERROR(D63+D58,0)</f>
      </c>
      <c r="E65" s="22">
        <f t="shared" si="22"/>
      </c>
      <c r="F65" s="22">
        <f t="shared" si="22"/>
      </c>
      <c r="G65" s="22">
        <f t="shared" si="22"/>
      </c>
      <c r="H65" s="22">
        <f t="shared" si="22"/>
      </c>
      <c r="I65" s="22">
        <f t="shared" si="22"/>
      </c>
      <c r="J65" s="22">
        <f t="shared" si="22"/>
      </c>
      <c r="K65" s="22">
        <f t="shared" si="22"/>
      </c>
      <c r="L65" s="22">
        <f t="shared" si="22"/>
      </c>
    </row>
    <row r="67" spans="1:13" x14ac:dyDescent="0.3">
      <c r="B67" s="24" t="s">
        <v>87</v>
      </c>
      <c r="C67" s="25" t="b">
        <f>C65=C52</f>
      </c>
      <c r="D67" s="25" t="b">
        <f t="shared" ref="D67:L67" si="23">D65=D52</f>
      </c>
      <c r="E67" s="25" t="b">
        <f t="shared" si="23"/>
      </c>
      <c r="F67" s="25" t="b">
        <f t="shared" si="23"/>
      </c>
      <c r="G67" s="25" t="b">
        <f t="shared" si="23"/>
      </c>
      <c r="H67" s="25" t="b">
        <f t="shared" si="23"/>
      </c>
      <c r="I67" s="25" t="b">
        <f t="shared" si="23"/>
      </c>
      <c r="J67" s="25" t="b">
        <f t="shared" si="23"/>
      </c>
      <c r="K67" s="25" t="b">
        <f t="shared" si="23"/>
      </c>
      <c r="L67" s="25" t="b">
        <f t="shared" si="23"/>
      </c>
    </row>
    <row r="69" spans="1:13" x14ac:dyDescent="0.3">
      <c r="A69" s="7" t="s">
        <v>56</v>
      </c>
      <c r="B69" s="19" t="s">
        <v>117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x14ac:dyDescent="0.3">
      <c r="B70" s="11" t="s">
        <v>119</v>
      </c>
    </row>
    <row r="71" spans="1:13" x14ac:dyDescent="0.3">
      <c r="B71" t="s">
        <v>89</v>
      </c>
      <c r="C71" s="22">
        <f>IFERROR('Cash flow Data'!E4,0)</f>
      </c>
      <c r="D71" s="22">
        <f>IFERROR('Cash flow Data'!F4,0)</f>
      </c>
      <c r="E71" s="22">
        <f>IFERROR('Cash flow Data'!G4,0)</f>
      </c>
      <c r="F71" s="22">
        <f>IFERROR('Cash flow Data'!H4,0)</f>
      </c>
      <c r="G71" s="22">
        <f>IFERROR('Cash flow Data'!I4,0)</f>
      </c>
      <c r="H71" s="22">
        <f>IFERROR('Cash flow Data'!J4,0)</f>
      </c>
      <c r="I71" s="22">
        <f>IFERROR('Cash flow Data'!K4,0)</f>
      </c>
      <c r="J71" s="22">
        <f>IFERROR('Cash flow Data'!L4,0)</f>
      </c>
      <c r="K71" s="22">
        <f>IFERROR('Cash flow Data'!M4,0)</f>
      </c>
      <c r="L71" s="22">
        <f>IFERROR('Cash flow Data'!N4,0)</f>
      </c>
    </row>
    <row r="72" spans="1:13" x14ac:dyDescent="0.3">
      <c r="B72" t="s">
        <v>40</v>
      </c>
      <c r="C72" s="22">
        <f>IFERROR('Cash flow Data'!E5,0)</f>
      </c>
      <c r="D72" s="22">
        <f>IFERROR('Cash flow Data'!F5,0)</f>
      </c>
      <c r="E72" s="22">
        <f>IFERROR('Cash flow Data'!G5,0)</f>
      </c>
      <c r="F72" s="22">
        <f>IFERROR('Cash flow Data'!H5,0)</f>
      </c>
      <c r="G72" s="22">
        <f>IFERROR('Cash flow Data'!I5,0)</f>
      </c>
      <c r="H72" s="22">
        <f>IFERROR('Cash flow Data'!J5,0)</f>
      </c>
      <c r="I72" s="22">
        <f>IFERROR('Cash flow Data'!K5,0)</f>
      </c>
      <c r="J72" s="22">
        <f>IFERROR('Cash flow Data'!L5,0)</f>
      </c>
      <c r="K72" s="22">
        <f>IFERROR('Cash flow Data'!M5,0)</f>
      </c>
      <c r="L72" s="22">
        <f>IFERROR('Cash flow Data'!N5,0)</f>
      </c>
    </row>
    <row r="73" spans="1:13" x14ac:dyDescent="0.3">
      <c r="B73" t="s">
        <v>41</v>
      </c>
      <c r="C73" s="22">
        <f>IFERROR('Cash flow Data'!E6,0)</f>
      </c>
      <c r="D73" s="22">
        <f>IFERROR('Cash flow Data'!F6,0)</f>
      </c>
      <c r="E73" s="22">
        <f>IFERROR('Cash flow Data'!G6,0)</f>
      </c>
      <c r="F73" s="22">
        <f>IFERROR('Cash flow Data'!H6,0)</f>
      </c>
      <c r="G73" s="22">
        <f>IFERROR('Cash flow Data'!I6,0)</f>
      </c>
      <c r="H73" s="22">
        <f>IFERROR('Cash flow Data'!J6,0)</f>
      </c>
      <c r="I73" s="22">
        <f>IFERROR('Cash flow Data'!K6,0)</f>
      </c>
      <c r="J73" s="22">
        <f>IFERROR('Cash flow Data'!L6,0)</f>
      </c>
      <c r="K73" s="22">
        <f>IFERROR('Cash flow Data'!M6,0)</f>
      </c>
      <c r="L73" s="22">
        <f>IFERROR('Cash flow Data'!N6,0)</f>
      </c>
    </row>
    <row r="74" spans="1:13" x14ac:dyDescent="0.3">
      <c r="B74" t="s">
        <v>90</v>
      </c>
      <c r="C74" s="22">
        <f>IFERROR('Cash flow Data'!E7,0)</f>
      </c>
      <c r="D74" s="22">
        <f>IFERROR('Cash flow Data'!F7,0)</f>
      </c>
      <c r="E74" s="22">
        <f>IFERROR('Cash flow Data'!G7,0)</f>
      </c>
      <c r="F74" s="22">
        <f>IFERROR('Cash flow Data'!H7,0)</f>
      </c>
      <c r="G74" s="22">
        <f>IFERROR('Cash flow Data'!I7,0)</f>
      </c>
      <c r="H74" s="22">
        <f>IFERROR('Cash flow Data'!J7,0)</f>
      </c>
      <c r="I74" s="22">
        <f>IFERROR('Cash flow Data'!K7,0)</f>
      </c>
      <c r="J74" s="22">
        <f>IFERROR('Cash flow Data'!L7,0)</f>
      </c>
      <c r="K74" s="22">
        <f>IFERROR('Cash flow Data'!M7,0)</f>
      </c>
      <c r="L74" s="22">
        <f>IFERROR('Cash flow Data'!N7,0)</f>
      </c>
    </row>
    <row r="75" spans="1:13" x14ac:dyDescent="0.3">
      <c r="B75" t="s">
        <v>91</v>
      </c>
      <c r="C75" s="22">
        <f>IFERROR('Cash flow Data'!E8,0)</f>
      </c>
      <c r="D75" s="22">
        <f>IFERROR('Cash flow Data'!F8,0)</f>
      </c>
      <c r="E75" s="22">
        <f>IFERROR('Cash flow Data'!G8,0)</f>
      </c>
      <c r="F75" s="22">
        <f>IFERROR('Cash flow Data'!H8,0)</f>
      </c>
      <c r="G75" s="22">
        <f>IFERROR('Cash flow Data'!I8,0)</f>
      </c>
      <c r="H75" s="22">
        <f>IFERROR('Cash flow Data'!J8,0)</f>
      </c>
      <c r="I75" s="22">
        <f>IFERROR('Cash flow Data'!K8,0)</f>
      </c>
      <c r="J75" s="22">
        <f>IFERROR('Cash flow Data'!L8,0)</f>
      </c>
      <c r="K75" s="22">
        <f>IFERROR('Cash flow Data'!M8,0)</f>
      </c>
      <c r="L75" s="22">
        <f>IFERROR('Cash flow Data'!N8,0)</f>
      </c>
    </row>
    <row r="76" spans="1:13" x14ac:dyDescent="0.3">
      <c r="B76" t="s">
        <v>92</v>
      </c>
      <c r="C76" s="22">
        <f>IFERROR('Cash flow Data'!E9,0)</f>
      </c>
      <c r="D76" s="22">
        <f>IFERROR('Cash flow Data'!F9,0)</f>
      </c>
      <c r="E76" s="22">
        <f>IFERROR('Cash flow Data'!G9,0)</f>
      </c>
      <c r="F76" s="22">
        <f>IFERROR('Cash flow Data'!H9,0)</f>
      </c>
      <c r="G76" s="22">
        <f>IFERROR('Cash flow Data'!I9,0)</f>
      </c>
      <c r="H76" s="22">
        <f>IFERROR('Cash flow Data'!J9,0)</f>
      </c>
      <c r="I76" s="22">
        <f>IFERROR('Cash flow Data'!K9,0)</f>
      </c>
      <c r="J76" s="22">
        <f>IFERROR('Cash flow Data'!L9,0)</f>
      </c>
      <c r="K76" s="22">
        <f>IFERROR('Cash flow Data'!M9,0)</f>
      </c>
      <c r="L76" s="22">
        <f>IFERROR('Cash flow Data'!N9,0)</f>
      </c>
    </row>
    <row r="77" spans="1:13" x14ac:dyDescent="0.3">
      <c r="B77" t="s">
        <v>93</v>
      </c>
      <c r="C77" s="22">
        <f>IFERROR('Cash flow Data'!E10,0)</f>
      </c>
      <c r="D77" s="22">
        <f>IFERROR('Cash flow Data'!F10,0)</f>
      </c>
      <c r="E77" s="22">
        <f>IFERROR('Cash flow Data'!G10,0)</f>
      </c>
      <c r="F77" s="22">
        <f>IFERROR('Cash flow Data'!H10,0)</f>
      </c>
      <c r="G77" s="22">
        <f>IFERROR('Cash flow Data'!I10,0)</f>
      </c>
      <c r="H77" s="22">
        <f>IFERROR('Cash flow Data'!J10,0)</f>
      </c>
      <c r="I77" s="22">
        <f>IFERROR('Cash flow Data'!K10,0)</f>
      </c>
      <c r="J77" s="22">
        <f>IFERROR('Cash flow Data'!L10,0)</f>
      </c>
      <c r="K77" s="22">
        <f>IFERROR('Cash flow Data'!M10,0)</f>
      </c>
      <c r="L77" s="22">
        <f>IFERROR('Cash flow Data'!N10,0)</f>
      </c>
    </row>
    <row r="78" spans="1:13" x14ac:dyDescent="0.3">
      <c r="B78" t="s">
        <v>94</v>
      </c>
      <c r="C78" s="22">
        <f>IFERROR('Cash flow Data'!E11,0)</f>
      </c>
      <c r="D78" s="22">
        <f>IFERROR('Cash flow Data'!F11,0)</f>
      </c>
      <c r="E78" s="22">
        <f>IFERROR('Cash flow Data'!G11,0)</f>
      </c>
      <c r="F78" s="22">
        <f>IFERROR('Cash flow Data'!H11,0)</f>
      </c>
      <c r="G78" s="22">
        <f>IFERROR('Cash flow Data'!I11,0)</f>
      </c>
      <c r="H78" s="22">
        <f>IFERROR('Cash flow Data'!J11,0)</f>
      </c>
      <c r="I78" s="22">
        <f>IFERROR('Cash flow Data'!K11,0)</f>
      </c>
      <c r="J78" s="22">
        <f>IFERROR('Cash flow Data'!L11,0)</f>
      </c>
      <c r="K78" s="22">
        <f>IFERROR('Cash flow Data'!M11,0)</f>
      </c>
      <c r="L78" s="22">
        <f>IFERROR('Cash flow Data'!N11,0)</f>
      </c>
    </row>
    <row r="79" spans="1:13" x14ac:dyDescent="0.3">
      <c r="B79" s="11" t="s">
        <v>118</v>
      </c>
      <c r="C79" s="22">
        <f>SUM(C71:C78)</f>
      </c>
      <c r="D79" s="22">
        <f t="shared" ref="D79:L79" si="24">SUM(D71:D78)</f>
      </c>
      <c r="E79" s="22">
        <f t="shared" si="24"/>
      </c>
      <c r="F79" s="22">
        <f t="shared" si="24"/>
      </c>
      <c r="G79" s="22">
        <f t="shared" si="24"/>
      </c>
      <c r="H79" s="22">
        <f t="shared" si="24"/>
      </c>
      <c r="I79" s="22">
        <f t="shared" si="24"/>
      </c>
      <c r="J79" s="22">
        <f t="shared" si="24"/>
      </c>
      <c r="K79" s="22">
        <f t="shared" si="24"/>
      </c>
      <c r="L79" s="22">
        <f t="shared" si="24"/>
      </c>
    </row>
    <row r="81" spans="2:12" x14ac:dyDescent="0.3">
      <c r="B81" s="11" t="s">
        <v>120</v>
      </c>
    </row>
    <row r="82" spans="2:12" x14ac:dyDescent="0.3">
      <c r="B82" t="s">
        <v>96</v>
      </c>
      <c r="C82" s="22">
        <f>IFERROR('Cash flow Data'!E13,0)</f>
      </c>
      <c r="D82" s="22">
        <f>IFERROR('Cash flow Data'!F13,0)</f>
      </c>
      <c r="E82" s="22">
        <f>IFERROR('Cash flow Data'!G13,0)</f>
      </c>
      <c r="F82" s="22">
        <f>IFERROR('Cash flow Data'!H13,0)</f>
      </c>
      <c r="G82" s="22">
        <f>IFERROR('Cash flow Data'!I13,0)</f>
      </c>
      <c r="H82" s="22">
        <f>IFERROR('Cash flow Data'!J13,0)</f>
      </c>
      <c r="I82" s="22">
        <f>IFERROR('Cash flow Data'!K13,0)</f>
      </c>
      <c r="J82" s="22">
        <f>IFERROR('Cash flow Data'!L13,0)</f>
      </c>
      <c r="K82" s="22">
        <f>IFERROR('Cash flow Data'!M13,0)</f>
      </c>
      <c r="L82" s="22">
        <f>IFERROR('Cash flow Data'!N13,0)</f>
      </c>
    </row>
    <row r="83" spans="2:12" x14ac:dyDescent="0.3">
      <c r="B83" t="s">
        <v>97</v>
      </c>
      <c r="C83" s="22">
        <f>IFERROR('Cash flow Data'!E14,0)</f>
      </c>
      <c r="D83" s="22">
        <f>IFERROR('Cash flow Data'!F14,0)</f>
      </c>
      <c r="E83" s="22">
        <f>IFERROR('Cash flow Data'!G14,0)</f>
      </c>
      <c r="F83" s="22">
        <f>IFERROR('Cash flow Data'!H14,0)</f>
      </c>
      <c r="G83" s="22">
        <f>IFERROR('Cash flow Data'!I14,0)</f>
      </c>
      <c r="H83" s="22">
        <f>IFERROR('Cash flow Data'!J14,0)</f>
      </c>
      <c r="I83" s="22">
        <f>IFERROR('Cash flow Data'!K14,0)</f>
      </c>
      <c r="J83" s="22">
        <f>IFERROR('Cash flow Data'!L14,0)</f>
      </c>
      <c r="K83" s="22">
        <f>IFERROR('Cash flow Data'!M14,0)</f>
      </c>
      <c r="L83" s="22">
        <f>IFERROR('Cash flow Data'!N14,0)</f>
      </c>
    </row>
    <row r="84" spans="2:12" x14ac:dyDescent="0.3">
      <c r="B84" t="s">
        <v>98</v>
      </c>
      <c r="C84" s="22">
        <f>IFERROR('Cash flow Data'!E15,0)</f>
      </c>
      <c r="D84" s="22">
        <f>IFERROR('Cash flow Data'!F15,0)</f>
      </c>
      <c r="E84" s="22">
        <f>IFERROR('Cash flow Data'!G15,0)</f>
      </c>
      <c r="F84" s="22">
        <f>IFERROR('Cash flow Data'!H15,0)</f>
      </c>
      <c r="G84" s="22">
        <f>IFERROR('Cash flow Data'!I15,0)</f>
      </c>
      <c r="H84" s="22">
        <f>IFERROR('Cash flow Data'!J15,0)</f>
      </c>
      <c r="I84" s="22">
        <f>IFERROR('Cash flow Data'!K15,0)</f>
      </c>
      <c r="J84" s="22">
        <f>IFERROR('Cash flow Data'!L15,0)</f>
      </c>
      <c r="K84" s="22">
        <f>IFERROR('Cash flow Data'!M15,0)</f>
      </c>
      <c r="L84" s="22">
        <f>IFERROR('Cash flow Data'!N15,0)</f>
      </c>
    </row>
    <row r="85" spans="2:12" x14ac:dyDescent="0.3">
      <c r="B85" t="s">
        <v>99</v>
      </c>
      <c r="C85" s="22">
        <f>IFERROR('Cash flow Data'!E16,0)</f>
      </c>
      <c r="D85" s="22">
        <f>IFERROR('Cash flow Data'!F16,0)</f>
      </c>
      <c r="E85" s="22">
        <f>IFERROR('Cash flow Data'!G16,0)</f>
      </c>
      <c r="F85" s="22">
        <f>IFERROR('Cash flow Data'!H16,0)</f>
      </c>
      <c r="G85" s="22">
        <f>IFERROR('Cash flow Data'!I16,0)</f>
      </c>
      <c r="H85" s="22">
        <f>IFERROR('Cash flow Data'!J16,0)</f>
      </c>
      <c r="I85" s="22">
        <f>IFERROR('Cash flow Data'!K16,0)</f>
      </c>
      <c r="J85" s="22">
        <f>IFERROR('Cash flow Data'!L16,0)</f>
      </c>
      <c r="K85" s="22">
        <f>IFERROR('Cash flow Data'!M16,0)</f>
      </c>
      <c r="L85" s="22">
        <f>IFERROR('Cash flow Data'!N16,0)</f>
      </c>
    </row>
    <row r="86" spans="2:12" x14ac:dyDescent="0.3">
      <c r="B86" t="s">
        <v>100</v>
      </c>
      <c r="C86" s="22">
        <f>IFERROR('Cash flow Data'!E17,0)</f>
      </c>
      <c r="D86" s="22">
        <f>IFERROR('Cash flow Data'!F17,0)</f>
      </c>
      <c r="E86" s="22">
        <f>IFERROR('Cash flow Data'!G17,0)</f>
      </c>
      <c r="F86" s="22">
        <f>IFERROR('Cash flow Data'!H17,0)</f>
      </c>
      <c r="G86" s="22">
        <f>IFERROR('Cash flow Data'!I17,0)</f>
      </c>
      <c r="H86" s="22">
        <f>IFERROR('Cash flow Data'!J17,0)</f>
      </c>
      <c r="I86" s="22">
        <f>IFERROR('Cash flow Data'!K17,0)</f>
      </c>
      <c r="J86" s="22">
        <f>IFERROR('Cash flow Data'!L17,0)</f>
      </c>
      <c r="K86" s="22">
        <f>IFERROR('Cash flow Data'!M17,0)</f>
      </c>
      <c r="L86" s="22">
        <f>IFERROR('Cash flow Data'!N17,0)</f>
      </c>
    </row>
    <row r="87" spans="2:12" x14ac:dyDescent="0.3">
      <c r="B87" t="s">
        <v>101</v>
      </c>
      <c r="C87" s="22">
        <f>IFERROR('Cash flow Data'!E18,0)</f>
      </c>
      <c r="D87" s="22">
        <f>IFERROR('Cash flow Data'!F18,0)</f>
      </c>
      <c r="E87" s="22">
        <f>IFERROR('Cash flow Data'!G18,0)</f>
      </c>
      <c r="F87" s="22">
        <f>IFERROR('Cash flow Data'!H18,0)</f>
      </c>
      <c r="G87" s="22">
        <f>IFERROR('Cash flow Data'!I18,0)</f>
      </c>
      <c r="H87" s="22">
        <f>IFERROR('Cash flow Data'!J18,0)</f>
      </c>
      <c r="I87" s="22">
        <f>IFERROR('Cash flow Data'!K18,0)</f>
      </c>
      <c r="J87" s="22">
        <f>IFERROR('Cash flow Data'!L18,0)</f>
      </c>
      <c r="K87" s="22">
        <f>IFERROR('Cash flow Data'!M18,0)</f>
      </c>
      <c r="L87" s="22">
        <f>IFERROR('Cash flow Data'!N18,0)</f>
      </c>
    </row>
    <row r="88" spans="2:12" x14ac:dyDescent="0.3">
      <c r="B88" t="s">
        <v>102</v>
      </c>
      <c r="C88" s="22">
        <f>IFERROR('Cash flow Data'!E19,0)</f>
      </c>
      <c r="D88" s="22">
        <f>IFERROR('Cash flow Data'!F19,0)</f>
      </c>
      <c r="E88" s="22">
        <f>IFERROR('Cash flow Data'!G19,0)</f>
      </c>
      <c r="F88" s="22">
        <f>IFERROR('Cash flow Data'!H19,0)</f>
      </c>
      <c r="G88" s="22">
        <f>IFERROR('Cash flow Data'!I19,0)</f>
      </c>
      <c r="H88" s="22">
        <f>IFERROR('Cash flow Data'!J19,0)</f>
      </c>
      <c r="I88" s="22">
        <f>IFERROR('Cash flow Data'!K19,0)</f>
      </c>
      <c r="J88" s="22">
        <f>IFERROR('Cash flow Data'!L19,0)</f>
      </c>
      <c r="K88" s="22">
        <f>IFERROR('Cash flow Data'!M19,0)</f>
      </c>
      <c r="L88" s="22">
        <f>IFERROR('Cash flow Data'!N19,0)</f>
      </c>
    </row>
    <row r="89" spans="2:12" x14ac:dyDescent="0.3">
      <c r="B89" t="s">
        <v>103</v>
      </c>
      <c r="C89" s="22">
        <f>IFERROR('Cash flow Data'!E20,0)</f>
      </c>
      <c r="D89" s="22">
        <f>IFERROR('Cash flow Data'!F20,0)</f>
      </c>
      <c r="E89" s="22">
        <f>IFERROR('Cash flow Data'!G20,0)</f>
      </c>
      <c r="F89" s="22">
        <f>IFERROR('Cash flow Data'!H20,0)</f>
      </c>
      <c r="G89" s="22">
        <f>IFERROR('Cash flow Data'!I20,0)</f>
      </c>
      <c r="H89" s="22">
        <f>IFERROR('Cash flow Data'!J20,0)</f>
      </c>
      <c r="I89" s="22">
        <f>IFERROR('Cash flow Data'!K20,0)</f>
      </c>
      <c r="J89" s="22">
        <f>IFERROR('Cash flow Data'!L20,0)</f>
      </c>
      <c r="K89" s="22">
        <f>IFERROR('Cash flow Data'!M20,0)</f>
      </c>
      <c r="L89" s="22">
        <f>IFERROR('Cash flow Data'!N20,0)</f>
      </c>
    </row>
    <row r="90" spans="2:12" x14ac:dyDescent="0.3">
      <c r="B90" t="s">
        <v>104</v>
      </c>
      <c r="C90" s="22">
        <f>IFERROR('Cash flow Data'!E21,0)</f>
      </c>
      <c r="D90" s="22">
        <f>IFERROR('Cash flow Data'!F21,0)</f>
      </c>
      <c r="E90" s="22">
        <f>IFERROR('Cash flow Data'!G21,0)</f>
      </c>
      <c r="F90" s="22">
        <f>IFERROR('Cash flow Data'!H21,0)</f>
      </c>
      <c r="G90" s="22">
        <f>IFERROR('Cash flow Data'!I21,0)</f>
      </c>
      <c r="H90" s="22">
        <f>IFERROR('Cash flow Data'!J21,0)</f>
      </c>
      <c r="I90" s="22">
        <f>IFERROR('Cash flow Data'!K21,0)</f>
      </c>
      <c r="J90" s="22">
        <f>IFERROR('Cash flow Data'!L21,0)</f>
      </c>
      <c r="K90" s="22">
        <f>IFERROR('Cash flow Data'!M21,0)</f>
      </c>
      <c r="L90" s="22">
        <f>IFERROR('Cash flow Data'!N21,0)</f>
      </c>
    </row>
    <row r="91" spans="2:12" x14ac:dyDescent="0.3">
      <c r="B91" t="s">
        <v>105</v>
      </c>
      <c r="C91" s="22">
        <f>IFERROR('Cash flow Data'!E22,0)</f>
      </c>
      <c r="D91" s="22">
        <f>IFERROR('Cash flow Data'!F22,0)</f>
      </c>
      <c r="E91" s="22">
        <f>IFERROR('Cash flow Data'!G22,0)</f>
      </c>
      <c r="F91" s="22">
        <f>IFERROR('Cash flow Data'!H22,0)</f>
      </c>
      <c r="G91" s="22">
        <f>IFERROR('Cash flow Data'!I22,0)</f>
      </c>
      <c r="H91" s="22">
        <f>IFERROR('Cash flow Data'!J22,0)</f>
      </c>
      <c r="I91" s="22">
        <f>IFERROR('Cash flow Data'!K22,0)</f>
      </c>
      <c r="J91" s="22">
        <f>IFERROR('Cash flow Data'!L22,0)</f>
      </c>
      <c r="K91" s="22">
        <f>IFERROR('Cash flow Data'!M22,0)</f>
      </c>
      <c r="L91" s="22">
        <f>IFERROR('Cash flow Data'!N22,0)</f>
      </c>
    </row>
    <row r="92" spans="2:12" x14ac:dyDescent="0.3">
      <c r="B92" t="s">
        <v>106</v>
      </c>
      <c r="C92" s="22">
        <f>IFERROR('Cash flow Data'!E23,0)</f>
      </c>
      <c r="D92" s="22">
        <f>IFERROR('Cash flow Data'!F23,0)</f>
      </c>
      <c r="E92" s="22">
        <f>IFERROR('Cash flow Data'!G23,0)</f>
      </c>
      <c r="F92" s="22">
        <f>IFERROR('Cash flow Data'!H23,0)</f>
      </c>
      <c r="G92" s="22">
        <f>IFERROR('Cash flow Data'!I23,0)</f>
      </c>
      <c r="H92" s="22">
        <f>IFERROR('Cash flow Data'!J23,0)</f>
      </c>
      <c r="I92" s="22">
        <f>IFERROR('Cash flow Data'!K23,0)</f>
      </c>
      <c r="J92" s="22">
        <f>IFERROR('Cash flow Data'!L23,0)</f>
      </c>
      <c r="K92" s="22">
        <f>IFERROR('Cash flow Data'!M23,0)</f>
      </c>
      <c r="L92" s="22">
        <f>IFERROR('Cash flow Data'!N23,0)</f>
      </c>
    </row>
    <row r="93" spans="2:12" x14ac:dyDescent="0.3">
      <c r="B93" t="s">
        <v>107</v>
      </c>
      <c r="C93" s="22">
        <f>IFERROR('Cash flow Data'!E24,0)</f>
      </c>
      <c r="D93" s="22">
        <f>IFERROR('Cash flow Data'!F24,0)</f>
      </c>
      <c r="E93" s="22">
        <f>IFERROR('Cash flow Data'!G24,0)</f>
      </c>
      <c r="F93" s="22">
        <f>IFERROR('Cash flow Data'!H24,0)</f>
      </c>
      <c r="G93" s="22">
        <f>IFERROR('Cash flow Data'!I24,0)</f>
      </c>
      <c r="H93" s="22">
        <f>IFERROR('Cash flow Data'!J24,0)</f>
      </c>
      <c r="I93" s="22">
        <f>IFERROR('Cash flow Data'!K24,0)</f>
      </c>
      <c r="J93" s="22">
        <f>IFERROR('Cash flow Data'!L24,0)</f>
      </c>
      <c r="K93" s="22">
        <f>IFERROR('Cash flow Data'!M24,0)</f>
      </c>
      <c r="L93" s="22">
        <f>IFERROR('Cash flow Data'!N24,0)</f>
      </c>
    </row>
    <row r="94" spans="2:12" x14ac:dyDescent="0.3">
      <c r="B94" s="11" t="s">
        <v>122</v>
      </c>
      <c r="C94" s="22">
        <f>SUM(C82:C93)</f>
      </c>
      <c r="D94" s="22">
        <f t="shared" ref="D94:L94" si="25">SUM(D82:D93)</f>
      </c>
      <c r="E94" s="22">
        <f t="shared" si="25"/>
      </c>
      <c r="F94" s="22">
        <f t="shared" si="25"/>
      </c>
      <c r="G94" s="22">
        <f t="shared" si="25"/>
      </c>
      <c r="H94" s="22">
        <f t="shared" si="25"/>
      </c>
      <c r="I94" s="22">
        <f t="shared" si="25"/>
      </c>
      <c r="J94" s="22">
        <f t="shared" si="25"/>
      </c>
      <c r="K94" s="22">
        <f t="shared" si="25"/>
      </c>
      <c r="L94" s="22">
        <f t="shared" si="25"/>
      </c>
    </row>
    <row r="96" spans="2:12" x14ac:dyDescent="0.3">
      <c r="B96" s="11" t="s">
        <v>121</v>
      </c>
    </row>
    <row r="97" spans="2:12" x14ac:dyDescent="0.3">
      <c r="B97" t="s">
        <v>109</v>
      </c>
      <c r="C97" s="22">
        <f>IFERROR('Cash flow Data'!C26,0)</f>
      </c>
      <c r="D97" s="22">
        <f>IFERROR('Cash flow Data'!D26,0)</f>
      </c>
      <c r="E97" s="22">
        <f>IFERROR('Cash flow Data'!E26,0)</f>
      </c>
      <c r="F97" s="22">
        <f>IFERROR('Cash flow Data'!F26,0)</f>
      </c>
      <c r="G97" s="22">
        <f>IFERROR('Cash flow Data'!G26,0)</f>
      </c>
      <c r="H97" s="22">
        <f>IFERROR('Cash flow Data'!H26,0)</f>
      </c>
      <c r="I97" s="22">
        <f>IFERROR('Cash flow Data'!I26,0)</f>
      </c>
      <c r="J97" s="22">
        <f>IFERROR('Cash flow Data'!J26,0)</f>
      </c>
      <c r="K97" s="22">
        <f>IFERROR('Cash flow Data'!K26,0)</f>
      </c>
      <c r="L97" s="22">
        <f>IFERROR('Cash flow Data'!L26,0)</f>
      </c>
    </row>
    <row r="98" spans="2:12" x14ac:dyDescent="0.3">
      <c r="B98" t="s">
        <v>110</v>
      </c>
      <c r="C98" s="22">
        <f>IFERROR('Cash flow Data'!C27,0)</f>
      </c>
      <c r="D98" s="22">
        <f>IFERROR('Cash flow Data'!D27,0)</f>
      </c>
      <c r="E98" s="22">
        <f>IFERROR('Cash flow Data'!E27,0)</f>
      </c>
      <c r="F98" s="22">
        <f>IFERROR('Cash flow Data'!F27,0)</f>
      </c>
      <c r="G98" s="22">
        <f>IFERROR('Cash flow Data'!G27,0)</f>
      </c>
      <c r="H98" s="22">
        <f>IFERROR('Cash flow Data'!H27,0)</f>
      </c>
      <c r="I98" s="22">
        <f>IFERROR('Cash flow Data'!I27,0)</f>
      </c>
      <c r="J98" s="22">
        <f>IFERROR('Cash flow Data'!J27,0)</f>
      </c>
      <c r="K98" s="22">
        <f>IFERROR('Cash flow Data'!K27,0)</f>
      </c>
      <c r="L98" s="22">
        <f>IFERROR('Cash flow Data'!L27,0)</f>
      </c>
    </row>
    <row r="99" spans="2:12" x14ac:dyDescent="0.3">
      <c r="B99" t="s">
        <v>111</v>
      </c>
      <c r="C99" s="22">
        <f>IFERROR('Cash flow Data'!C28,0)</f>
      </c>
      <c r="D99" s="22">
        <f>IFERROR('Cash flow Data'!D28,0)</f>
      </c>
      <c r="E99" s="22">
        <f>IFERROR('Cash flow Data'!E28,0)</f>
      </c>
      <c r="F99" s="22">
        <f>IFERROR('Cash flow Data'!F28,0)</f>
      </c>
      <c r="G99" s="22">
        <f>IFERROR('Cash flow Data'!G28,0)</f>
      </c>
      <c r="H99" s="22">
        <f>IFERROR('Cash flow Data'!H28,0)</f>
      </c>
      <c r="I99" s="22">
        <f>IFERROR('Cash flow Data'!I28,0)</f>
      </c>
      <c r="J99" s="22">
        <f>IFERROR('Cash flow Data'!J28,0)</f>
      </c>
      <c r="K99" s="22">
        <f>IFERROR('Cash flow Data'!K28,0)</f>
      </c>
      <c r="L99" s="22">
        <f>IFERROR('Cash flow Data'!L28,0)</f>
      </c>
    </row>
    <row r="100" spans="2:12" x14ac:dyDescent="0.3">
      <c r="B100" t="s">
        <v>112</v>
      </c>
      <c r="C100" s="22">
        <f>IFERROR('Cash flow Data'!C29,0)</f>
      </c>
      <c r="D100" s="22">
        <f>IFERROR('Cash flow Data'!D29,0)</f>
      </c>
      <c r="E100" s="22">
        <f>IFERROR('Cash flow Data'!E29,0)</f>
      </c>
      <c r="F100" s="22">
        <f>IFERROR('Cash flow Data'!F29,0)</f>
      </c>
      <c r="G100" s="22">
        <f>IFERROR('Cash flow Data'!G29,0)</f>
      </c>
      <c r="H100" s="22">
        <f>IFERROR('Cash flow Data'!H29,0)</f>
      </c>
      <c r="I100" s="22">
        <f>IFERROR('Cash flow Data'!I29,0)</f>
      </c>
      <c r="J100" s="22">
        <f>IFERROR('Cash flow Data'!J29,0)</f>
      </c>
      <c r="K100" s="22">
        <f>IFERROR('Cash flow Data'!K29,0)</f>
      </c>
      <c r="L100" s="22">
        <f>IFERROR('Cash flow Data'!L29,0)</f>
      </c>
    </row>
    <row r="101" spans="2:12" x14ac:dyDescent="0.3">
      <c r="B101" t="s">
        <v>113</v>
      </c>
      <c r="C101" s="22">
        <f>IFERROR('Cash flow Data'!C30,0)</f>
      </c>
      <c r="D101" s="22">
        <f>IFERROR('Cash flow Data'!D30,0)</f>
      </c>
      <c r="E101" s="22">
        <f>IFERROR('Cash flow Data'!E30,0)</f>
      </c>
      <c r="F101" s="22">
        <f>IFERROR('Cash flow Data'!F30,0)</f>
      </c>
      <c r="G101" s="22">
        <f>IFERROR('Cash flow Data'!G30,0)</f>
      </c>
      <c r="H101" s="22">
        <f>IFERROR('Cash flow Data'!H30,0)</f>
      </c>
      <c r="I101" s="22">
        <f>IFERROR('Cash flow Data'!I30,0)</f>
      </c>
      <c r="J101" s="22">
        <f>IFERROR('Cash flow Data'!J30,0)</f>
      </c>
      <c r="K101" s="22">
        <f>IFERROR('Cash flow Data'!K30,0)</f>
      </c>
      <c r="L101" s="22">
        <f>IFERROR('Cash flow Data'!L30,0)</f>
      </c>
    </row>
    <row r="102" spans="2:12" x14ac:dyDescent="0.3">
      <c r="B102" t="s">
        <v>114</v>
      </c>
      <c r="C102" s="22">
        <f>IFERROR('Cash flow Data'!C31,0)</f>
      </c>
      <c r="D102" s="22">
        <f>IFERROR('Cash flow Data'!D31,0)</f>
      </c>
      <c r="E102" s="22">
        <f>IFERROR('Cash flow Data'!E31,0)</f>
      </c>
      <c r="F102" s="22">
        <f>IFERROR('Cash flow Data'!F31,0)</f>
      </c>
      <c r="G102" s="22">
        <f>IFERROR('Cash flow Data'!G31,0)</f>
      </c>
      <c r="H102" s="22">
        <f>IFERROR('Cash flow Data'!H31,0)</f>
      </c>
      <c r="I102" s="22">
        <f>IFERROR('Cash flow Data'!I31,0)</f>
      </c>
      <c r="J102" s="22">
        <f>IFERROR('Cash flow Data'!J31,0)</f>
      </c>
      <c r="K102" s="22">
        <f>IFERROR('Cash flow Data'!K31,0)</f>
      </c>
      <c r="L102" s="22">
        <f>IFERROR('Cash flow Data'!L31,0)</f>
      </c>
    </row>
    <row r="103" spans="2:12" x14ac:dyDescent="0.3">
      <c r="B103" t="s">
        <v>115</v>
      </c>
      <c r="C103" s="22">
        <f>IFERROR('Cash flow Data'!C32,0)</f>
      </c>
      <c r="D103" s="22">
        <f>IFERROR('Cash flow Data'!D32,0)</f>
      </c>
      <c r="E103" s="22">
        <f>IFERROR('Cash flow Data'!E32,0)</f>
      </c>
      <c r="F103" s="22">
        <f>IFERROR('Cash flow Data'!F32,0)</f>
      </c>
      <c r="G103" s="22">
        <f>IFERROR('Cash flow Data'!G32,0)</f>
      </c>
      <c r="H103" s="22">
        <f>IFERROR('Cash flow Data'!H32,0)</f>
      </c>
      <c r="I103" s="22">
        <f>IFERROR('Cash flow Data'!I32,0)</f>
      </c>
      <c r="J103" s="22">
        <f>IFERROR('Cash flow Data'!J32,0)</f>
      </c>
      <c r="K103" s="22">
        <f>IFERROR('Cash flow Data'!K32,0)</f>
      </c>
      <c r="L103" s="22">
        <f>IFERROR('Cash flow Data'!L32,0)</f>
      </c>
    </row>
    <row r="104" spans="2:12" x14ac:dyDescent="0.3">
      <c r="B104" t="s">
        <v>116</v>
      </c>
      <c r="C104" s="22">
        <f>IFERROR('Cash flow Data'!C33,0)</f>
      </c>
      <c r="D104" s="22">
        <f>IFERROR('Cash flow Data'!D33,0)</f>
      </c>
      <c r="E104" s="22">
        <f>IFERROR('Cash flow Data'!E33,0)</f>
      </c>
      <c r="F104" s="22">
        <f>IFERROR('Cash flow Data'!F33,0)</f>
      </c>
      <c r="G104" s="22">
        <f>IFERROR('Cash flow Data'!G33,0)</f>
      </c>
      <c r="H104" s="22">
        <f>IFERROR('Cash flow Data'!H33,0)</f>
      </c>
      <c r="I104" s="22">
        <f>IFERROR('Cash flow Data'!I33,0)</f>
      </c>
      <c r="J104" s="22">
        <f>IFERROR('Cash flow Data'!J33,0)</f>
      </c>
      <c r="K104" s="22">
        <f>IFERROR('Cash flow Data'!K33,0)</f>
      </c>
      <c r="L104" s="22">
        <f>IFERROR('Cash flow Data'!L33,0)</f>
      </c>
    </row>
    <row r="105" spans="2:12" x14ac:dyDescent="0.3">
      <c r="B105" s="11" t="s">
        <v>123</v>
      </c>
      <c r="C105" s="22">
        <f>SUM(C97:C104)</f>
      </c>
      <c r="D105" s="22">
        <f t="shared" ref="D105:L105" si="26">SUM(D97:D104)</f>
      </c>
      <c r="E105" s="22">
        <f t="shared" si="26"/>
      </c>
      <c r="F105" s="22">
        <f t="shared" si="26"/>
      </c>
      <c r="G105" s="22">
        <f t="shared" si="26"/>
      </c>
      <c r="H105" s="22">
        <f t="shared" si="26"/>
      </c>
      <c r="I105" s="22">
        <f t="shared" si="26"/>
      </c>
      <c r="J105" s="22">
        <f t="shared" si="26"/>
      </c>
      <c r="K105" s="22">
        <f t="shared" si="26"/>
      </c>
      <c r="L105" s="22">
        <f t="shared" si="26"/>
      </c>
    </row>
    <row r="106" spans="2:12" x14ac:dyDescent="0.3">
      <c r="B106" s="11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2:12" x14ac:dyDescent="0.3">
      <c r="B107" s="11" t="s">
        <v>50</v>
      </c>
      <c r="C107" s="22">
        <f>IFERROR(C79+C94+C105,0)</f>
      </c>
      <c r="D107" s="22">
        <f t="shared" ref="D107:L107" si="27">IFERROR(D79+D94+D105,0)</f>
      </c>
      <c r="E107" s="22">
        <f t="shared" si="27"/>
      </c>
      <c r="F107" s="22">
        <f t="shared" si="27"/>
      </c>
      <c r="G107" s="22">
        <f t="shared" si="27"/>
      </c>
      <c r="H107" s="22">
        <f t="shared" si="27"/>
      </c>
      <c r="I107" s="22">
        <f t="shared" si="27"/>
      </c>
      <c r="J107" s="22">
        <f t="shared" si="27"/>
      </c>
      <c r="K107" s="22">
        <f t="shared" si="27"/>
      </c>
      <c r="L107" s="22">
        <f t="shared" si="27"/>
      </c>
    </row>
  </sheetData>
  <mergeCells count="1">
    <mergeCell ref="B2:M2"/>
  </mergeCells>
  <pageMargins left="0.7" right="0.7" top="0.75" bottom="0.75" header="0.3" footer="0.3"/>
  <ignoredErrors>
    <ignoredError sqref="M6 M9 C15 D15:L15 M18 M21 M24 M3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71EC-AE9D-4824-8DED-02EA35253A49}">
  <dimension ref="A1:K93"/>
  <sheetViews>
    <sheetView showGridLines="0" topLeftCell="A45" workbookViewId="0">
      <selection activeCell="B67" sqref="B67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1</v>
      </c>
      <c r="E1" s="29" t="str">
        <f>IF(B2&lt;&gt;B3, "A NEW VERSION OF THE WORKSHEET IS AVAILABLE", "")</f>
      </c>
      <c r="F1" s="29"/>
      <c r="G1" s="29"/>
      <c r="H1" s="29"/>
      <c r="I1" s="29"/>
      <c r="J1" s="29"/>
      <c r="K1" s="29"/>
    </row>
    <row r="2" spans="1:11" x14ac:dyDescent="0.3">
      <c r="A2" s="1" t="s">
        <v>2</v>
      </c>
      <c r="B2" s="2">
        <v>2.1</v>
      </c>
      <c r="E2" s="30" t="s">
        <v>3</v>
      </c>
      <c r="F2" s="30"/>
      <c r="G2" s="30"/>
      <c r="H2" s="30"/>
      <c r="I2" s="30"/>
      <c r="J2" s="30"/>
      <c r="K2" s="30"/>
    </row>
    <row r="3" spans="1:11" x14ac:dyDescent="0.3">
      <c r="A3" s="1" t="s">
        <v>4</v>
      </c>
      <c r="B3" s="2">
        <v>2.1</v>
      </c>
    </row>
    <row r="4" spans="1:11" x14ac:dyDescent="0.3">
      <c r="A4" s="1"/>
    </row>
    <row r="5" spans="1:11" x14ac:dyDescent="0.3">
      <c r="A5" s="1" t="s">
        <v>5</v>
      </c>
    </row>
    <row r="6" spans="1:11" x14ac:dyDescent="0.3">
      <c r="A6" s="2" t="s">
        <v>6</v>
      </c>
      <c r="B6" s="2">
        <f>IF(B9&gt;0, B9/B8, 0)</f>
      </c>
    </row>
    <row r="7" spans="1:11" x14ac:dyDescent="0.3">
      <c r="A7" s="2" t="s">
        <v>7</v>
      </c>
      <c r="B7">
        <v>1.00</v>
      </c>
    </row>
    <row r="8" spans="1:11" x14ac:dyDescent="0.3">
      <c r="A8" s="2" t="s">
        <v>8</v>
      </c>
      <c r="B8">
        <v>1246.90</v>
      </c>
    </row>
    <row r="9" spans="1:11" x14ac:dyDescent="0.3">
      <c r="A9" s="2" t="s">
        <v>9</v>
      </c>
      <c r="B9">
        <v>240441.51</v>
      </c>
    </row>
    <row r="15" spans="1:11" x14ac:dyDescent="0.3">
      <c r="A15" s="1" t="s">
        <v>10</v>
      </c>
    </row>
    <row r="16" spans="1:11" s="5" customFormat="1" x14ac:dyDescent="0.3">
      <c r="A16" s="3" t="s">
        <v>11</v>
      </c>
      <c r="B16" s="4">
        <v>42735.0</v>
      </c>
      <c r="C16" s="4">
        <v>43100.0</v>
      </c>
      <c r="D16" s="4">
        <v>43465.0</v>
      </c>
      <c r="E16" s="4">
        <v>43830.0</v>
      </c>
      <c r="F16" s="4">
        <v>44196.0</v>
      </c>
      <c r="G16" s="4">
        <v>44561.0</v>
      </c>
      <c r="H16" s="4">
        <v>44926.0</v>
      </c>
      <c r="I16" s="4">
        <v>45291.0</v>
      </c>
      <c r="J16" s="4">
        <v>45382.0</v>
      </c>
      <c r="K16" s="4">
        <v>45747.0</v>
      </c>
    </row>
    <row r="17" spans="1:11" s="6" customFormat="1" x14ac:dyDescent="0.3">
      <c r="A17" s="6" t="s">
        <v>12</v>
      </c>
      <c r="B17">
        <v>9141.34</v>
      </c>
      <c r="C17">
        <v>10009.6</v>
      </c>
      <c r="D17">
        <v>11292.27</v>
      </c>
      <c r="E17">
        <v>12368.9</v>
      </c>
      <c r="F17">
        <v>13350.03</v>
      </c>
      <c r="G17">
        <v>14740.59</v>
      </c>
      <c r="H17">
        <v>16896.96</v>
      </c>
      <c r="I17">
        <v>19126.3</v>
      </c>
      <c r="J17">
        <v>24393.89</v>
      </c>
      <c r="K17">
        <v>20201.56</v>
      </c>
    </row>
    <row r="18" spans="1:11" s="6" customFormat="1" x14ac:dyDescent="0.3">
      <c r="A18" s="2" t="s">
        <v>13</v>
      </c>
      <c r="B18">
        <v>3227.26</v>
      </c>
      <c r="C18">
        <v>3696.99</v>
      </c>
      <c r="D18">
        <v>3829.22</v>
      </c>
      <c r="E18">
        <v>4520.91</v>
      </c>
      <c r="F18">
        <v>4901.74</v>
      </c>
      <c r="G18">
        <v>5301.26</v>
      </c>
      <c r="H18">
        <v>6660.42</v>
      </c>
      <c r="I18">
        <v>8472.72</v>
      </c>
      <c r="J18">
        <v>9201.11</v>
      </c>
      <c r="K18">
        <v>7646.63</v>
      </c>
    </row>
    <row r="19" spans="1:11" s="6" customFormat="1" x14ac:dyDescent="0.3">
      <c r="A19" s="2" t="s">
        <v>14</v>
      </c>
      <c r="B19">
        <v>7.66</v>
      </c>
      <c r="C19">
        <v>79.56</v>
      </c>
      <c r="D19">
        <v>6.01</v>
      </c>
      <c r="E19">
        <v>144.19</v>
      </c>
      <c r="F19">
        <v>69.33</v>
      </c>
      <c r="G19">
        <v>67.59</v>
      </c>
      <c r="H19">
        <v>250.27</v>
      </c>
      <c r="I19">
        <v>40.01</v>
      </c>
      <c r="J19">
        <v>45.68</v>
      </c>
      <c r="K19">
        <v>139.66</v>
      </c>
    </row>
    <row r="20" spans="1:11" s="6" customFormat="1" x14ac:dyDescent="0.3">
      <c r="A20" s="2" t="s">
        <v>15</v>
      </c>
      <c r="B20">
        <v>232.79</v>
      </c>
      <c r="C20">
        <v>288.44</v>
      </c>
      <c r="D20">
        <v>344.18</v>
      </c>
      <c r="E20">
        <v>340.53</v>
      </c>
      <c r="F20">
        <v>313.68</v>
      </c>
      <c r="G20">
        <v>408.06</v>
      </c>
      <c r="H20">
        <v>572.61</v>
      </c>
      <c r="I20"/>
      <c r="J20">
        <v>674.83</v>
      </c>
      <c r="K20">
        <v>536.65</v>
      </c>
    </row>
    <row r="21" spans="1:11" s="6" customFormat="1" x14ac:dyDescent="0.3">
      <c r="A21" s="2" t="s">
        <v>16</v>
      </c>
      <c r="B21">
        <v>850.85</v>
      </c>
      <c r="C21">
        <v>897.84</v>
      </c>
      <c r="D21">
        <v>949.86</v>
      </c>
      <c r="E21">
        <v>1028.55</v>
      </c>
      <c r="F21">
        <v>1040.36</v>
      </c>
      <c r="G21">
        <v>1349.48</v>
      </c>
      <c r="H21">
        <v>1603.48</v>
      </c>
      <c r="I21"/>
      <c r="J21">
        <v>1935.4</v>
      </c>
      <c r="K21">
        <v>1579.8</v>
      </c>
    </row>
    <row r="22" spans="1:11" s="6" customFormat="1" x14ac:dyDescent="0.3">
      <c r="A22" s="2" t="s">
        <v>17</v>
      </c>
      <c r="B22">
        <v>901.57</v>
      </c>
      <c r="C22">
        <v>1017.45</v>
      </c>
      <c r="D22">
        <v>1124.15</v>
      </c>
      <c r="E22">
        <v>1258.17</v>
      </c>
      <c r="F22">
        <v>1500.95</v>
      </c>
      <c r="G22">
        <v>1529.94</v>
      </c>
      <c r="H22">
        <v>1635.46</v>
      </c>
      <c r="I22">
        <v>1849.18</v>
      </c>
      <c r="J22">
        <v>2336.06</v>
      </c>
      <c r="K22">
        <v>2023.71</v>
      </c>
    </row>
    <row r="23" spans="1:11" s="6" customFormat="1" x14ac:dyDescent="0.3">
      <c r="A23" s="2" t="s">
        <v>18</v>
      </c>
      <c r="B23">
        <v>1751.78</v>
      </c>
      <c r="C23">
        <v>1823.98</v>
      </c>
      <c r="D23">
        <v>2145.82</v>
      </c>
      <c r="E23">
        <v>2226.13</v>
      </c>
      <c r="F23">
        <v>2246.9</v>
      </c>
      <c r="G23">
        <v>2902.12</v>
      </c>
      <c r="H23">
        <v>3192.15</v>
      </c>
      <c r="I23"/>
      <c r="J23">
        <v>4837.58</v>
      </c>
      <c r="K23">
        <v>4121.66</v>
      </c>
    </row>
    <row r="24" spans="1:11" s="6" customFormat="1" x14ac:dyDescent="0.3">
      <c r="A24" s="2" t="s">
        <v>19</v>
      </c>
      <c r="B24">
        <v>334.91</v>
      </c>
      <c r="C24">
        <v>267.93</v>
      </c>
      <c r="D24">
        <v>287.4</v>
      </c>
      <c r="E24">
        <v>212.92</v>
      </c>
      <c r="F24">
        <v>214.23</v>
      </c>
      <c r="G24">
        <v>-245.08</v>
      </c>
      <c r="H24">
        <v>-223.18</v>
      </c>
      <c r="I24">
        <v>4373.42</v>
      </c>
      <c r="J24">
        <v>-388.53</v>
      </c>
      <c r="K24">
        <v>-338.56</v>
      </c>
    </row>
    <row r="25" spans="1:11" s="6" customFormat="1" x14ac:dyDescent="0.3">
      <c r="A25" s="6" t="s">
        <v>20</v>
      </c>
      <c r="B25">
        <v>140.12</v>
      </c>
      <c r="C25">
        <v>176.92</v>
      </c>
      <c r="D25">
        <v>258.92</v>
      </c>
      <c r="E25">
        <v>246.88</v>
      </c>
      <c r="F25">
        <v>145.85</v>
      </c>
      <c r="G25">
        <v>-112.38</v>
      </c>
      <c r="H25">
        <v>107.26</v>
      </c>
      <c r="I25">
        <v>115.5</v>
      </c>
      <c r="J25">
        <v>158.99</v>
      </c>
      <c r="K25">
        <v>352.06</v>
      </c>
    </row>
    <row r="26" spans="1:11" s="6" customFormat="1" x14ac:dyDescent="0.3">
      <c r="A26" s="6" t="s">
        <v>21</v>
      </c>
      <c r="B26">
        <v>353.67</v>
      </c>
      <c r="C26">
        <v>342.25</v>
      </c>
      <c r="D26">
        <v>335.67</v>
      </c>
      <c r="E26">
        <v>370.15</v>
      </c>
      <c r="F26">
        <v>370.38</v>
      </c>
      <c r="G26">
        <v>391.02</v>
      </c>
      <c r="H26">
        <v>403.01</v>
      </c>
      <c r="I26">
        <v>428.91</v>
      </c>
      <c r="J26">
        <v>567.75</v>
      </c>
      <c r="K26">
        <v>539.92</v>
      </c>
    </row>
    <row r="27" spans="1:11" s="6" customFormat="1" x14ac:dyDescent="0.3">
      <c r="A27" s="6" t="s">
        <v>22</v>
      </c>
      <c r="B27">
        <v>90.91</v>
      </c>
      <c r="C27">
        <v>91.9</v>
      </c>
      <c r="D27">
        <v>111.95</v>
      </c>
      <c r="E27">
        <v>129.12</v>
      </c>
      <c r="F27">
        <v>164.18</v>
      </c>
      <c r="G27">
        <v>201.68</v>
      </c>
      <c r="H27">
        <v>154.57</v>
      </c>
      <c r="I27">
        <v>119.29</v>
      </c>
      <c r="J27">
        <v>145.49</v>
      </c>
      <c r="K27">
        <v>136.0</v>
      </c>
    </row>
    <row r="28" spans="1:11" s="6" customFormat="1" x14ac:dyDescent="0.3">
      <c r="A28" s="6" t="s">
        <v>23</v>
      </c>
      <c r="B28">
        <v>1545.38</v>
      </c>
      <c r="C28">
        <v>1839.3</v>
      </c>
      <c r="D28">
        <v>2428.95</v>
      </c>
      <c r="E28">
        <v>2673.49</v>
      </c>
      <c r="F28">
        <v>2812.79</v>
      </c>
      <c r="G28">
        <v>2857.32</v>
      </c>
      <c r="H28">
        <v>3255.97</v>
      </c>
      <c r="I28">
        <v>4038.29</v>
      </c>
      <c r="J28">
        <v>5288.87</v>
      </c>
      <c r="K28">
        <v>4447.47</v>
      </c>
    </row>
    <row r="29" spans="1:11" s="6" customFormat="1" x14ac:dyDescent="0.3">
      <c r="A29" s="6" t="s">
        <v>24</v>
      </c>
      <c r="B29">
        <v>544.02</v>
      </c>
      <c r="C29">
        <v>614.11</v>
      </c>
      <c r="D29">
        <v>822.02</v>
      </c>
      <c r="E29">
        <v>705.05</v>
      </c>
      <c r="F29">
        <v>730.36</v>
      </c>
      <c r="G29">
        <v>738.91</v>
      </c>
      <c r="H29">
        <v>865.45</v>
      </c>
      <c r="I29">
        <v>1039.62</v>
      </c>
      <c r="J29">
        <v>1356.03</v>
      </c>
      <c r="K29">
        <v>1132.97</v>
      </c>
    </row>
    <row r="30" spans="1:11" s="6" customFormat="1" x14ac:dyDescent="0.3">
      <c r="A30" s="6" t="s">
        <v>25</v>
      </c>
      <c r="B30">
        <v>1001.36</v>
      </c>
      <c r="C30">
        <v>1225.19</v>
      </c>
      <c r="D30">
        <v>1606.93</v>
      </c>
      <c r="E30">
        <v>1968.44</v>
      </c>
      <c r="F30">
        <v>2082.43</v>
      </c>
      <c r="G30">
        <v>2118.41</v>
      </c>
      <c r="H30">
        <v>2390.52</v>
      </c>
      <c r="I30">
        <v>2998.67</v>
      </c>
      <c r="J30">
        <v>3932.84</v>
      </c>
      <c r="K30">
        <v>3314.5</v>
      </c>
    </row>
    <row r="31" spans="1:11" s="6" customFormat="1" x14ac:dyDescent="0.3">
      <c r="A31" s="6" t="s">
        <v>26</v>
      </c>
      <c r="B31">
        <v>607.45</v>
      </c>
      <c r="C31">
        <v>829.21</v>
      </c>
      <c r="D31">
        <v>1108.83</v>
      </c>
      <c r="E31">
        <v>3297.56</v>
      </c>
      <c r="F31">
        <v>1928.4</v>
      </c>
      <c r="G31">
        <v>1928.4</v>
      </c>
      <c r="H31">
        <v>2121.24</v>
      </c>
      <c r="I31">
        <v>1677.71</v>
      </c>
      <c r="J31">
        <v>3104.72</v>
      </c>
      <c r="K31">
        <v>2603.34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27</v>
      </c>
    </row>
    <row r="41" spans="1:11" s="5" customFormat="1" x14ac:dyDescent="0.3">
      <c r="A41" s="3" t="s">
        <v>11</v>
      </c>
      <c r="B41" s="4">
        <v>45107.0</v>
      </c>
      <c r="C41" s="4">
        <v>45199.0</v>
      </c>
      <c r="D41" s="4">
        <v>45291.0</v>
      </c>
      <c r="E41" s="4">
        <v>45382.0</v>
      </c>
      <c r="F41" s="4">
        <v>45473.0</v>
      </c>
      <c r="G41" s="4">
        <v>45565.0</v>
      </c>
      <c r="H41" s="4">
        <v>45657.0</v>
      </c>
      <c r="I41" s="4">
        <v>45747.0</v>
      </c>
      <c r="J41" s="4">
        <v>45838.0</v>
      </c>
      <c r="K41" s="4">
        <v>45930.0</v>
      </c>
    </row>
    <row r="42" spans="1:11" s="6" customFormat="1" x14ac:dyDescent="0.3">
      <c r="A42" s="6" t="s">
        <v>12</v>
      </c>
      <c r="B42">
        <v>4658.53</v>
      </c>
      <c r="C42">
        <v>5036.82</v>
      </c>
      <c r="D42">
        <v>4600.42</v>
      </c>
      <c r="E42">
        <v>5267.59</v>
      </c>
      <c r="F42">
        <v>4813.95</v>
      </c>
      <c r="G42">
        <v>5104.0</v>
      </c>
      <c r="H42">
        <v>4779.73</v>
      </c>
      <c r="I42">
        <v>5503.88</v>
      </c>
      <c r="J42">
        <v>5096.16</v>
      </c>
      <c r="K42">
        <v>5643.61</v>
      </c>
    </row>
    <row r="43" spans="1:11" s="6" customFormat="1" x14ac:dyDescent="0.3">
      <c r="A43" s="6" t="s">
        <v>28</v>
      </c>
      <c r="B43">
        <v>3603.01</v>
      </c>
      <c r="C43">
        <v>3811.95</v>
      </c>
      <c r="D43">
        <v>3505.3</v>
      </c>
      <c r="E43">
        <v>3917.54</v>
      </c>
      <c r="F43">
        <v>3699.62</v>
      </c>
      <c r="G43">
        <v>3936.27</v>
      </c>
      <c r="H43">
        <v>3677.04</v>
      </c>
      <c r="I43">
        <v>4114.92</v>
      </c>
      <c r="J43">
        <v>3995.9</v>
      </c>
      <c r="K43">
        <v>4406.97</v>
      </c>
    </row>
    <row r="44" spans="1:11" s="6" customFormat="1" x14ac:dyDescent="0.3">
      <c r="A44" s="6" t="s">
        <v>20</v>
      </c>
      <c r="B44">
        <v>23.95</v>
      </c>
      <c r="C44">
        <v>139.69</v>
      </c>
      <c r="D44">
        <v>-77.0</v>
      </c>
      <c r="E44">
        <v>36.83</v>
      </c>
      <c r="F44">
        <v>39.12</v>
      </c>
      <c r="G44">
        <v>297.68</v>
      </c>
      <c r="H44">
        <v>4.44</v>
      </c>
      <c r="I44">
        <v>8.44</v>
      </c>
      <c r="J44">
        <v>4.04</v>
      </c>
      <c r="K44">
        <v>1.64</v>
      </c>
    </row>
    <row r="45" spans="1:11" s="6" customFormat="1" x14ac:dyDescent="0.3">
      <c r="A45" s="6" t="s">
        <v>21</v>
      </c>
      <c r="B45">
        <v>107.36</v>
      </c>
      <c r="C45">
        <v>111.16</v>
      </c>
      <c r="D45">
        <v>108.69</v>
      </c>
      <c r="E45">
        <v>110.1</v>
      </c>
      <c r="F45">
        <v>112.71</v>
      </c>
      <c r="G45">
        <v>121.6</v>
      </c>
      <c r="H45">
        <v>150.27</v>
      </c>
      <c r="I45">
        <v>155.34</v>
      </c>
      <c r="J45">
        <v>156.94</v>
      </c>
      <c r="K45">
        <v>163.35</v>
      </c>
    </row>
    <row r="46" spans="1:11" s="6" customFormat="1" x14ac:dyDescent="0.3">
      <c r="A46" s="6" t="s">
        <v>22</v>
      </c>
      <c r="B46">
        <v>32.78</v>
      </c>
      <c r="C46">
        <v>31.38</v>
      </c>
      <c r="D46">
        <v>22.95</v>
      </c>
      <c r="E46">
        <v>26.2</v>
      </c>
      <c r="F46">
        <v>31.68</v>
      </c>
      <c r="G46">
        <v>32.22</v>
      </c>
      <c r="H46">
        <v>34.6</v>
      </c>
      <c r="I46">
        <v>37.5</v>
      </c>
      <c r="J46">
        <v>46.89</v>
      </c>
      <c r="K46">
        <v>46.41</v>
      </c>
    </row>
    <row r="47" spans="1:11" s="6" customFormat="1" x14ac:dyDescent="0.3">
      <c r="A47" s="6" t="s">
        <v>23</v>
      </c>
      <c r="B47">
        <v>939.33</v>
      </c>
      <c r="C47">
        <v>1222.02</v>
      </c>
      <c r="D47">
        <v>886.48</v>
      </c>
      <c r="E47">
        <v>1250.58</v>
      </c>
      <c r="F47">
        <v>1009.06</v>
      </c>
      <c r="G47">
        <v>1311.59</v>
      </c>
      <c r="H47">
        <v>922.26</v>
      </c>
      <c r="I47">
        <v>1204.56</v>
      </c>
      <c r="J47">
        <v>900.47</v>
      </c>
      <c r="K47">
        <v>1028.52</v>
      </c>
    </row>
    <row r="48" spans="1:11" s="6" customFormat="1" x14ac:dyDescent="0.3">
      <c r="A48" s="6" t="s">
        <v>24</v>
      </c>
      <c r="B48">
        <v>240.99</v>
      </c>
      <c r="C48">
        <v>313.94</v>
      </c>
      <c r="D48">
        <v>230.87</v>
      </c>
      <c r="E48">
        <v>316.41</v>
      </c>
      <c r="F48">
        <v>262.46</v>
      </c>
      <c r="G48">
        <v>325.23</v>
      </c>
      <c r="H48">
        <v>226.13</v>
      </c>
      <c r="I48">
        <v>319.15</v>
      </c>
      <c r="J48">
        <v>241.24</v>
      </c>
      <c r="K48">
        <v>275.32</v>
      </c>
    </row>
    <row r="49" spans="1:11" s="6" customFormat="1" x14ac:dyDescent="0.3">
      <c r="A49" s="6" t="s">
        <v>25</v>
      </c>
      <c r="B49">
        <v>698.34</v>
      </c>
      <c r="C49">
        <v>908.08</v>
      </c>
      <c r="D49">
        <v>655.61</v>
      </c>
      <c r="E49">
        <v>934.17</v>
      </c>
      <c r="F49">
        <v>746.6</v>
      </c>
      <c r="G49">
        <v>986.36</v>
      </c>
      <c r="H49">
        <v>696.13</v>
      </c>
      <c r="I49">
        <v>885.41</v>
      </c>
      <c r="J49">
        <v>659.23</v>
      </c>
      <c r="K49">
        <v>753.2</v>
      </c>
    </row>
    <row r="50" spans="1:11" x14ac:dyDescent="0.3">
      <c r="A50" s="6" t="s">
        <v>29</v>
      </c>
      <c r="B50">
        <v>1055.52</v>
      </c>
      <c r="C50">
        <v>1224.87</v>
      </c>
      <c r="D50">
        <v>1095.12</v>
      </c>
      <c r="E50">
        <v>1350.05</v>
      </c>
      <c r="F50">
        <v>1114.33</v>
      </c>
      <c r="G50">
        <v>1167.73</v>
      </c>
      <c r="H50">
        <v>1102.69</v>
      </c>
      <c r="I50">
        <v>1388.96</v>
      </c>
      <c r="J50">
        <v>1100.26</v>
      </c>
      <c r="K50">
        <v>1236.64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30</v>
      </c>
    </row>
    <row r="56" spans="1:11" s="5" customFormat="1" x14ac:dyDescent="0.3">
      <c r="A56" s="3" t="s">
        <v>11</v>
      </c>
      <c r="B56" s="4">
        <v>42735.0</v>
      </c>
      <c r="C56" s="4">
        <v>43100.0</v>
      </c>
      <c r="D56" s="4">
        <v>43465.0</v>
      </c>
      <c r="E56" s="4">
        <v>43830.0</v>
      </c>
      <c r="F56" s="4">
        <v>44196.0</v>
      </c>
      <c r="G56" s="4">
        <v>44561.0</v>
      </c>
      <c r="H56" s="4">
        <v>44926.0</v>
      </c>
      <c r="I56" s="4">
        <v>45291.0</v>
      </c>
      <c r="J56" s="4">
        <v>45382.0</v>
      </c>
      <c r="K56" s="4">
        <v>45747.0</v>
      </c>
    </row>
    <row r="57" spans="1:11" x14ac:dyDescent="0.3">
      <c r="A57" s="6" t="s">
        <v>31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96.42</v>
      </c>
      <c r="H57">
        <v>96.42</v>
      </c>
      <c r="I57">
        <v>96.42</v>
      </c>
      <c r="J57">
        <v>96.42</v>
      </c>
      <c r="K57">
        <v>96.42</v>
      </c>
    </row>
    <row r="58" spans="1:11" x14ac:dyDescent="0.3">
      <c r="A58" s="6" t="s">
        <v>32</v>
      </c>
      <c r="B58">
        <v>3185.91</v>
      </c>
      <c r="C58">
        <v>3324.17</v>
      </c>
      <c r="D58">
        <v>3577.32</v>
      </c>
      <c r="E58">
        <v>1822.45</v>
      </c>
      <c r="F58">
        <v>1922.92</v>
      </c>
      <c r="G58">
        <v>1849.96</v>
      </c>
      <c r="H58">
        <v>2362.75</v>
      </c>
      <c r="I58">
        <v>2362.75</v>
      </c>
      <c r="J58">
        <v>3244.47</v>
      </c>
      <c r="K58">
        <v>4020.73</v>
      </c>
    </row>
    <row r="59" spans="1:11" x14ac:dyDescent="0.3">
      <c r="A59" s="6" t="s">
        <v>33</v>
      </c>
      <c r="B59">
        <v>33.15</v>
      </c>
      <c r="C59">
        <v>35.14</v>
      </c>
      <c r="D59">
        <v>35.14</v>
      </c>
      <c r="E59">
        <v>188.94</v>
      </c>
      <c r="F59">
        <v>147.49</v>
      </c>
      <c r="G59">
        <v>266.46</v>
      </c>
      <c r="H59">
        <v>270.52</v>
      </c>
      <c r="I59">
        <v>270.52</v>
      </c>
      <c r="J59">
        <v>344.53</v>
      </c>
      <c r="K59">
        <v>1166.85</v>
      </c>
    </row>
    <row r="60" spans="1:11" x14ac:dyDescent="0.3">
      <c r="A60" s="6" t="s">
        <v>34</v>
      </c>
      <c r="B60">
        <v>3494.98</v>
      </c>
      <c r="C60">
        <v>3906.86</v>
      </c>
      <c r="D60">
        <v>4379.2</v>
      </c>
      <c r="E60">
        <v>5065.13</v>
      </c>
      <c r="F60">
        <v>5732.9</v>
      </c>
      <c r="G60">
        <v>6021.29</v>
      </c>
      <c r="H60">
        <v>6249.05</v>
      </c>
      <c r="I60">
        <v>6249.05</v>
      </c>
      <c r="J60">
        <v>6837.64</v>
      </c>
      <c r="K60">
        <v>7039.89</v>
      </c>
    </row>
    <row r="61" spans="1:11" s="1" customFormat="1" x14ac:dyDescent="0.3">
      <c r="A61" s="1" t="s">
        <v>35</v>
      </c>
      <c r="B61">
        <v>6810.46</v>
      </c>
      <c r="C61">
        <v>7362.59</v>
      </c>
      <c r="D61">
        <v>8088.08</v>
      </c>
      <c r="E61">
        <v>7172.94</v>
      </c>
      <c r="F61">
        <v>7899.73</v>
      </c>
      <c r="G61">
        <v>8234.13</v>
      </c>
      <c r="H61">
        <v>8978.74</v>
      </c>
      <c r="I61">
        <v>8978.74</v>
      </c>
      <c r="J61">
        <v>10523.06</v>
      </c>
      <c r="K61">
        <v>12323.89</v>
      </c>
    </row>
    <row r="62" spans="1:11" x14ac:dyDescent="0.3">
      <c r="A62" s="6" t="s">
        <v>36</v>
      </c>
      <c r="B62">
        <v>2730.14</v>
      </c>
      <c r="C62">
        <v>2616.18</v>
      </c>
      <c r="D62">
        <v>2400.62</v>
      </c>
      <c r="E62">
        <v>2341.45</v>
      </c>
      <c r="F62">
        <v>2179.41</v>
      </c>
      <c r="G62">
        <v>2994.67</v>
      </c>
      <c r="H62">
        <v>3043.7</v>
      </c>
      <c r="I62">
        <v>3043.7</v>
      </c>
      <c r="J62">
        <v>3460.25</v>
      </c>
      <c r="K62">
        <v>5473.61</v>
      </c>
    </row>
    <row r="63" spans="1:11" x14ac:dyDescent="0.3">
      <c r="A63" s="6" t="s">
        <v>37</v>
      </c>
      <c r="B63">
        <v>188.17</v>
      </c>
      <c r="C63">
        <v>94.16</v>
      </c>
      <c r="D63">
        <v>105.2</v>
      </c>
      <c r="E63">
        <v>143.3</v>
      </c>
      <c r="F63">
        <v>638.58</v>
      </c>
      <c r="G63">
        <v>246.23</v>
      </c>
      <c r="H63">
        <v>358.36</v>
      </c>
      <c r="I63">
        <v>358.36</v>
      </c>
      <c r="J63">
        <v>1741.71</v>
      </c>
      <c r="K63">
        <v>1172.56</v>
      </c>
    </row>
    <row r="64" spans="1:11" x14ac:dyDescent="0.3">
      <c r="A64" s="6" t="s">
        <v>38</v>
      </c>
      <c r="B64">
        <v>1755.66</v>
      </c>
      <c r="C64">
        <v>1978.87</v>
      </c>
      <c r="D64">
        <v>2658.49</v>
      </c>
      <c r="E64">
        <v>1751.05</v>
      </c>
      <c r="F64">
        <v>1463.77</v>
      </c>
      <c r="G64">
        <v>773.98</v>
      </c>
      <c r="H64">
        <v>777.54</v>
      </c>
      <c r="I64">
        <v>777.54</v>
      </c>
      <c r="J64">
        <v>463.87</v>
      </c>
      <c r="K64">
        <v>705.6</v>
      </c>
    </row>
    <row r="65" spans="1:11" x14ac:dyDescent="0.3">
      <c r="A65" s="6" t="s">
        <v>39</v>
      </c>
      <c r="B65">
        <v>2136.49</v>
      </c>
      <c r="C65">
        <v>2673.38</v>
      </c>
      <c r="D65">
        <v>2923.77</v>
      </c>
      <c r="E65">
        <v>2937.14</v>
      </c>
      <c r="F65">
        <v>3617.97</v>
      </c>
      <c r="G65">
        <v>4219.25</v>
      </c>
      <c r="H65">
        <v>4799.14</v>
      </c>
      <c r="I65">
        <v>4799.14</v>
      </c>
      <c r="J65">
        <v>4857.23</v>
      </c>
      <c r="K65">
        <v>4972.12</v>
      </c>
    </row>
    <row r="66" spans="1:11" s="1" customFormat="1" x14ac:dyDescent="0.3">
      <c r="A66" s="1" t="s">
        <v>35</v>
      </c>
      <c r="B66">
        <v>6810.46</v>
      </c>
      <c r="C66">
        <v>7362.59</v>
      </c>
      <c r="D66">
        <v>8088.08</v>
      </c>
      <c r="E66">
        <v>7172.94</v>
      </c>
      <c r="F66">
        <v>7899.73</v>
      </c>
      <c r="G66">
        <v>8234.13</v>
      </c>
      <c r="H66">
        <v>8978.74</v>
      </c>
      <c r="I66">
        <v>8978.74</v>
      </c>
      <c r="J66">
        <v>10523.06</v>
      </c>
      <c r="K66">
        <v>12323.89</v>
      </c>
    </row>
    <row r="67" spans="1:11" s="6" customFormat="1" x14ac:dyDescent="0.3">
      <c r="A67" s="6" t="s">
        <v>40</v>
      </c>
      <c r="B67">
        <v>97.93</v>
      </c>
      <c r="C67">
        <v>88.97</v>
      </c>
      <c r="D67">
        <v>124.59</v>
      </c>
      <c r="E67">
        <v>124.33</v>
      </c>
      <c r="F67">
        <v>164.93</v>
      </c>
      <c r="G67">
        <v>165.97</v>
      </c>
      <c r="H67">
        <v>191.89</v>
      </c>
      <c r="I67">
        <v>191.89</v>
      </c>
      <c r="J67">
        <v>300.46</v>
      </c>
      <c r="K67">
        <v>363.15</v>
      </c>
    </row>
    <row r="68" spans="1:11" x14ac:dyDescent="0.3">
      <c r="A68" s="6" t="s">
        <v>41</v>
      </c>
      <c r="B68">
        <v>940.06</v>
      </c>
      <c r="C68">
        <v>902.47</v>
      </c>
      <c r="D68">
        <v>965.55</v>
      </c>
      <c r="E68">
        <v>1283.07</v>
      </c>
      <c r="F68">
        <v>1416.48</v>
      </c>
      <c r="G68">
        <v>1592.65</v>
      </c>
      <c r="H68">
        <v>1928.77</v>
      </c>
      <c r="I68">
        <v>1928.77</v>
      </c>
      <c r="J68">
        <v>2089.36</v>
      </c>
      <c r="K68">
        <v>2850.14</v>
      </c>
    </row>
    <row r="69" spans="1:11" x14ac:dyDescent="0.3">
      <c r="A69" s="2" t="s">
        <v>42</v>
      </c>
      <c r="B69">
        <v>880.0</v>
      </c>
      <c r="C69">
        <v>1457.42</v>
      </c>
      <c r="D69">
        <v>1610.06</v>
      </c>
      <c r="E69">
        <v>1308.05</v>
      </c>
      <c r="F69">
        <v>1769.87</v>
      </c>
      <c r="G69">
        <v>735.41</v>
      </c>
      <c r="H69">
        <v>945.55</v>
      </c>
      <c r="I69">
        <v>945.55</v>
      </c>
      <c r="J69">
        <v>778.85</v>
      </c>
      <c r="K69">
        <v>95.65</v>
      </c>
    </row>
    <row r="70" spans="1:11" x14ac:dyDescent="0.3">
      <c r="A70" s="2" t="s">
        <v>43</v>
      </c>
      <c r="B70">
        <v>96415716.0</v>
      </c>
      <c r="C70">
        <v>96415716.0</v>
      </c>
      <c r="D70">
        <v>96415716.0</v>
      </c>
      <c r="E70">
        <v>96415716.0</v>
      </c>
      <c r="F70">
        <v>96415716.0</v>
      </c>
      <c r="G70">
        <v>96415716.0</v>
      </c>
      <c r="H70">
        <v>96415716.0</v>
      </c>
      <c r="I70"/>
      <c r="J70">
        <v>964157160.0</v>
      </c>
      <c r="K70">
        <v>964157160.0</v>
      </c>
    </row>
    <row r="71" spans="1:11" x14ac:dyDescent="0.3">
      <c r="A71" s="2" t="s">
        <v>44</v>
      </c>
    </row>
    <row r="72" spans="1:11" x14ac:dyDescent="0.3">
      <c r="A72" s="2" t="s">
        <v>45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46</v>
      </c>
    </row>
    <row r="81" spans="1:11" s="5" customFormat="1" x14ac:dyDescent="0.3">
      <c r="A81" s="3" t="s">
        <v>11</v>
      </c>
      <c r="B81" s="4">
        <v>42735.0</v>
      </c>
      <c r="C81" s="4">
        <v>43100.0</v>
      </c>
      <c r="D81" s="4">
        <v>43465.0</v>
      </c>
      <c r="E81" s="4">
        <v>43830.0</v>
      </c>
      <c r="F81" s="4">
        <v>44196.0</v>
      </c>
      <c r="G81" s="4">
        <v>44561.0</v>
      </c>
      <c r="H81" s="4">
        <v>44926.0</v>
      </c>
      <c r="I81" s="4">
        <v>45291.0</v>
      </c>
      <c r="J81" s="4">
        <v>45382.0</v>
      </c>
      <c r="K81" s="4">
        <v>45747.0</v>
      </c>
    </row>
    <row r="82" spans="1:11" s="1" customFormat="1" x14ac:dyDescent="0.3">
      <c r="A82" s="6" t="s">
        <v>47</v>
      </c>
      <c r="B82">
        <v>1465.91</v>
      </c>
      <c r="C82">
        <v>1817.79</v>
      </c>
      <c r="D82">
        <v>2052.45</v>
      </c>
      <c r="E82">
        <v>2295.25</v>
      </c>
      <c r="F82">
        <v>2454.48</v>
      </c>
      <c r="G82">
        <v>2236.0</v>
      </c>
      <c r="H82">
        <v>2737.43</v>
      </c>
      <c r="I82">
        <v>3392.19</v>
      </c>
      <c r="J82">
        <v>4174.79</v>
      </c>
      <c r="K82">
        <v>2936.35</v>
      </c>
    </row>
    <row r="83" spans="1:11" s="6" customFormat="1" x14ac:dyDescent="0.3">
      <c r="A83" s="6" t="s">
        <v>48</v>
      </c>
      <c r="B83">
        <v>-125.9</v>
      </c>
      <c r="C83">
        <v>-130.56</v>
      </c>
      <c r="D83">
        <v>-52.41</v>
      </c>
      <c r="E83">
        <v>82.99</v>
      </c>
      <c r="F83">
        <v>-321.46</v>
      </c>
      <c r="G83">
        <v>-1920.33</v>
      </c>
      <c r="H83">
        <v>-391.73</v>
      </c>
      <c r="I83">
        <v>-926.99</v>
      </c>
      <c r="J83">
        <v>-1237.42</v>
      </c>
      <c r="K83">
        <v>-1810.9</v>
      </c>
    </row>
    <row r="84" spans="1:11" s="6" customFormat="1" x14ac:dyDescent="0.3">
      <c r="A84" s="6" t="s">
        <v>49</v>
      </c>
      <c r="B84">
        <v>-665.61</v>
      </c>
      <c r="C84">
        <v>-996.62</v>
      </c>
      <c r="D84">
        <v>-1317.42</v>
      </c>
      <c r="E84">
        <v>-3601.53</v>
      </c>
      <c r="F84">
        <v>-1955.89</v>
      </c>
      <c r="G84">
        <v>-2019.97</v>
      </c>
      <c r="H84">
        <v>-2122.74</v>
      </c>
      <c r="I84">
        <v>-2436.47</v>
      </c>
      <c r="J84">
        <v>-3134.92</v>
      </c>
      <c r="K84">
        <v>-1848.12</v>
      </c>
    </row>
    <row r="85" spans="1:11" s="1" customFormat="1" x14ac:dyDescent="0.3">
      <c r="A85" s="6" t="s">
        <v>50</v>
      </c>
      <c r="B85">
        <v>674.4</v>
      </c>
      <c r="C85">
        <v>690.61</v>
      </c>
      <c r="D85">
        <v>682.62</v>
      </c>
      <c r="E85">
        <v>-1223.29</v>
      </c>
      <c r="F85">
        <v>177.13</v>
      </c>
      <c r="G85">
        <v>-1704.3</v>
      </c>
      <c r="H85">
        <v>222.96</v>
      </c>
      <c r="I85">
        <v>28.73</v>
      </c>
      <c r="J85">
        <v>-197.55</v>
      </c>
      <c r="K85">
        <v>-722.67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51</v>
      </c>
      <c r="B90">
        <v>301.42</v>
      </c>
      <c r="C90">
        <v>393.55</v>
      </c>
      <c r="D90">
        <v>554.24</v>
      </c>
      <c r="E90">
        <v>739.27</v>
      </c>
      <c r="F90">
        <v>919.51</v>
      </c>
      <c r="G90">
        <v>985.29</v>
      </c>
      <c r="H90">
        <v>980.3</v>
      </c>
      <c r="I90">
        <v>1329.02</v>
      </c>
      <c r="J90">
        <v>1311.18</v>
      </c>
      <c r="K90">
        <v>1125.38</v>
      </c>
    </row>
    <row r="92" spans="1:11" s="1" customFormat="1" x14ac:dyDescent="0.3">
      <c r="A92" s="1" t="s">
        <v>52</v>
      </c>
    </row>
    <row r="93" spans="1:11" x14ac:dyDescent="0.3">
      <c r="A93" s="2" t="s">
        <v>53</v>
      </c>
      <c r="B93" s="2">
        <v>192.8</v>
      </c>
      <c r="C93" s="2">
        <v>192.8</v>
      </c>
      <c r="D93" s="2">
        <v>192.8</v>
      </c>
      <c r="E93" s="2">
        <v>192.8</v>
      </c>
      <c r="F93" s="2">
        <v>192.8</v>
      </c>
      <c r="G93" s="2">
        <v>192.8</v>
      </c>
      <c r="H93" s="2">
        <v>192.8</v>
      </c>
      <c r="I93" s="2">
        <v>192.8</v>
      </c>
      <c r="J93" s="2">
        <v>192.83</v>
      </c>
      <c r="K93" s="2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B50F4E0-4E21-4BAC-8210-962F2C9853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BFAB-6688-452A-9561-9DAE40A1EE87}">
  <dimension ref="B2:N34"/>
  <sheetViews>
    <sheetView topLeftCell="A3" workbookViewId="0">
      <selection activeCell="B26" sqref="B26:B34"/>
    </sheetView>
  </sheetViews>
  <sheetFormatPr defaultRowHeight="14.4" x14ac:dyDescent="0.3"/>
  <cols>
    <col min="2" max="2" width="25.77734375" bestFit="1" customWidth="1"/>
    <col min="3" max="14" width="7.109375" bestFit="1" customWidth="1"/>
  </cols>
  <sheetData>
    <row r="2" spans="2:14" x14ac:dyDescent="0.3">
      <c r="C2" s="27">
        <v>40969</v>
      </c>
      <c r="D2" s="27">
        <v>41334</v>
      </c>
      <c r="E2" s="27">
        <v>41699</v>
      </c>
      <c r="F2" s="27">
        <v>42064</v>
      </c>
      <c r="G2" s="27">
        <v>42430</v>
      </c>
      <c r="H2" s="27">
        <v>42795</v>
      </c>
      <c r="I2" s="27">
        <v>43160</v>
      </c>
      <c r="J2" s="27">
        <v>43525</v>
      </c>
      <c r="K2" s="27">
        <v>43891</v>
      </c>
      <c r="L2" s="27">
        <v>44256</v>
      </c>
      <c r="M2" s="27">
        <v>44621</v>
      </c>
      <c r="N2" s="27">
        <v>44986</v>
      </c>
    </row>
    <row r="3" spans="2:14" x14ac:dyDescent="0.3">
      <c r="B3" t="s">
        <v>88</v>
      </c>
      <c r="C3" s="26">
        <v>18384</v>
      </c>
      <c r="D3" s="26">
        <v>22163</v>
      </c>
      <c r="E3" s="26">
        <v>36151</v>
      </c>
      <c r="F3" s="26">
        <v>35531</v>
      </c>
      <c r="G3" s="26">
        <v>37900</v>
      </c>
      <c r="H3" s="26">
        <v>30199</v>
      </c>
      <c r="I3" s="26">
        <v>23857</v>
      </c>
      <c r="J3" s="26">
        <v>18891</v>
      </c>
      <c r="K3" s="26">
        <v>26633</v>
      </c>
      <c r="L3" s="26">
        <v>29001</v>
      </c>
      <c r="M3" s="26">
        <v>14283</v>
      </c>
      <c r="N3" s="26">
        <v>35388</v>
      </c>
    </row>
    <row r="4" spans="2:14" x14ac:dyDescent="0.3">
      <c r="B4" t="s">
        <v>89</v>
      </c>
      <c r="C4" s="26">
        <v>22432</v>
      </c>
      <c r="D4" s="26">
        <v>24406</v>
      </c>
      <c r="E4" s="26">
        <v>36303</v>
      </c>
      <c r="F4" s="26">
        <v>43397</v>
      </c>
      <c r="G4" s="26">
        <v>38626</v>
      </c>
      <c r="H4" s="26">
        <v>28840</v>
      </c>
      <c r="I4" s="26">
        <v>33312</v>
      </c>
      <c r="J4" s="26">
        <v>28771</v>
      </c>
      <c r="K4" s="26">
        <v>23352</v>
      </c>
      <c r="L4" s="26">
        <v>31198</v>
      </c>
      <c r="M4" s="26">
        <v>26943</v>
      </c>
      <c r="N4" s="26">
        <v>41694</v>
      </c>
    </row>
    <row r="5" spans="2:14" x14ac:dyDescent="0.3">
      <c r="B5" t="s">
        <v>40</v>
      </c>
      <c r="C5" s="26">
        <v>-6659</v>
      </c>
      <c r="D5" s="26">
        <v>-5177</v>
      </c>
      <c r="E5">
        <v>445</v>
      </c>
      <c r="F5" s="26">
        <v>-3179</v>
      </c>
      <c r="G5" s="26">
        <v>-2223</v>
      </c>
      <c r="H5" s="26">
        <v>-4152</v>
      </c>
      <c r="I5" s="26">
        <v>-10688</v>
      </c>
      <c r="J5" s="26">
        <v>-9109</v>
      </c>
      <c r="K5" s="26">
        <v>9950</v>
      </c>
      <c r="L5" s="26">
        <v>-5505</v>
      </c>
      <c r="M5">
        <v>185</v>
      </c>
      <c r="N5" s="26">
        <v>-2213</v>
      </c>
    </row>
    <row r="6" spans="2:14" x14ac:dyDescent="0.3">
      <c r="B6" t="s">
        <v>41</v>
      </c>
      <c r="C6" s="26">
        <v>-2719</v>
      </c>
      <c r="D6" s="26">
        <v>-2656</v>
      </c>
      <c r="E6" s="26">
        <v>-2853</v>
      </c>
      <c r="F6" s="26">
        <v>-3692</v>
      </c>
      <c r="G6" s="26">
        <v>-5743</v>
      </c>
      <c r="H6" s="26">
        <v>-6621</v>
      </c>
      <c r="I6" s="26">
        <v>-3560</v>
      </c>
      <c r="J6" s="26">
        <v>2069</v>
      </c>
      <c r="K6" s="26">
        <v>2326</v>
      </c>
      <c r="L6" s="26">
        <v>3814</v>
      </c>
      <c r="M6">
        <v>472</v>
      </c>
      <c r="N6" s="26">
        <v>-5665</v>
      </c>
    </row>
    <row r="7" spans="2:14" x14ac:dyDescent="0.3">
      <c r="B7" t="s">
        <v>90</v>
      </c>
      <c r="C7" s="26">
        <v>5867</v>
      </c>
      <c r="D7" s="26">
        <v>8132</v>
      </c>
      <c r="E7" s="26">
        <v>4694</v>
      </c>
      <c r="F7" s="26">
        <v>3598</v>
      </c>
      <c r="G7" s="26">
        <v>3947</v>
      </c>
      <c r="H7" s="26">
        <v>9301</v>
      </c>
      <c r="I7" s="26">
        <v>7320</v>
      </c>
      <c r="J7" s="26">
        <v>-4692</v>
      </c>
      <c r="K7" s="26">
        <v>-8085</v>
      </c>
      <c r="L7" s="26">
        <v>5748</v>
      </c>
      <c r="M7" s="26">
        <v>-7012</v>
      </c>
      <c r="N7" s="26">
        <v>6945</v>
      </c>
    </row>
    <row r="8" spans="2:14" x14ac:dyDescent="0.3">
      <c r="B8" t="s">
        <v>91</v>
      </c>
      <c r="C8">
        <v>0</v>
      </c>
      <c r="D8">
        <v>0</v>
      </c>
      <c r="E8">
        <v>0</v>
      </c>
      <c r="F8">
        <v>0</v>
      </c>
      <c r="G8">
        <v>-520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92</v>
      </c>
      <c r="C9" s="26">
        <v>1231</v>
      </c>
      <c r="D9">
        <v>-303</v>
      </c>
      <c r="E9" s="26">
        <v>1870</v>
      </c>
      <c r="F9">
        <v>-398</v>
      </c>
      <c r="G9" s="26">
        <v>5852</v>
      </c>
      <c r="H9" s="26">
        <v>4727</v>
      </c>
      <c r="I9">
        <v>494</v>
      </c>
      <c r="J9" s="26">
        <v>4512</v>
      </c>
      <c r="K9">
        <v>875</v>
      </c>
      <c r="L9" s="26">
        <v>-4150</v>
      </c>
      <c r="M9" s="26">
        <v>-4396</v>
      </c>
      <c r="N9" s="26">
        <v>-2194</v>
      </c>
    </row>
    <row r="10" spans="2:14" x14ac:dyDescent="0.3">
      <c r="B10" t="s">
        <v>93</v>
      </c>
      <c r="C10" s="26">
        <v>-2280</v>
      </c>
      <c r="D10">
        <v>-3</v>
      </c>
      <c r="E10" s="26">
        <v>4157</v>
      </c>
      <c r="F10" s="26">
        <v>-3672</v>
      </c>
      <c r="G10" s="26">
        <v>1313</v>
      </c>
      <c r="H10" s="26">
        <v>3254</v>
      </c>
      <c r="I10" s="26">
        <v>-6434</v>
      </c>
      <c r="J10" s="26">
        <v>-7221</v>
      </c>
      <c r="K10" s="26">
        <v>5065</v>
      </c>
      <c r="L10">
        <v>-93</v>
      </c>
      <c r="M10" s="26">
        <v>-10750</v>
      </c>
      <c r="N10" s="26">
        <v>-3127</v>
      </c>
    </row>
    <row r="11" spans="2:14" x14ac:dyDescent="0.3">
      <c r="B11" t="s">
        <v>94</v>
      </c>
      <c r="C11" s="26">
        <v>-1768</v>
      </c>
      <c r="D11" s="26">
        <v>-2240</v>
      </c>
      <c r="E11" s="26">
        <v>-4308</v>
      </c>
      <c r="F11" s="26">
        <v>-4194</v>
      </c>
      <c r="G11" s="26">
        <v>-2040</v>
      </c>
      <c r="H11" s="26">
        <v>-1895</v>
      </c>
      <c r="I11" s="26">
        <v>-3021</v>
      </c>
      <c r="J11" s="26">
        <v>-2659</v>
      </c>
      <c r="K11" s="26">
        <v>-1785</v>
      </c>
      <c r="L11" s="26">
        <v>-2105</v>
      </c>
      <c r="M11" s="26">
        <v>-1910</v>
      </c>
      <c r="N11" s="26">
        <v>-3179</v>
      </c>
    </row>
    <row r="12" spans="2:14" x14ac:dyDescent="0.3">
      <c r="B12" t="s">
        <v>95</v>
      </c>
      <c r="C12" s="26">
        <v>-19464</v>
      </c>
      <c r="D12" s="26">
        <v>-22969</v>
      </c>
      <c r="E12" s="26">
        <v>-27991</v>
      </c>
      <c r="F12" s="26">
        <v>-36232</v>
      </c>
      <c r="G12" s="26">
        <v>-36694</v>
      </c>
      <c r="H12" s="26">
        <v>-39571</v>
      </c>
      <c r="I12" s="26">
        <v>-25139</v>
      </c>
      <c r="J12" s="26">
        <v>-20878</v>
      </c>
      <c r="K12" s="26">
        <v>-33115</v>
      </c>
      <c r="L12" s="26">
        <v>-25672</v>
      </c>
      <c r="M12" s="26">
        <v>-4444</v>
      </c>
      <c r="N12" s="26">
        <v>-15417</v>
      </c>
    </row>
    <row r="13" spans="2:14" x14ac:dyDescent="0.3">
      <c r="B13" t="s">
        <v>96</v>
      </c>
      <c r="C13" s="26">
        <v>-13876</v>
      </c>
      <c r="D13" s="26">
        <v>-18863</v>
      </c>
      <c r="E13" s="26">
        <v>-26975</v>
      </c>
      <c r="F13" s="26">
        <v>-31962</v>
      </c>
      <c r="G13" s="26">
        <v>-31503</v>
      </c>
      <c r="H13" s="26">
        <v>-16072</v>
      </c>
      <c r="I13" s="26">
        <v>-35079</v>
      </c>
      <c r="J13" s="26">
        <v>-35304</v>
      </c>
      <c r="K13" s="26">
        <v>-29702</v>
      </c>
      <c r="L13" s="26">
        <v>-20205</v>
      </c>
      <c r="M13" s="26">
        <v>-15168</v>
      </c>
      <c r="N13" s="26">
        <v>-19230</v>
      </c>
    </row>
    <row r="14" spans="2:14" x14ac:dyDescent="0.3">
      <c r="B14" t="s">
        <v>97</v>
      </c>
      <c r="C14">
        <v>93</v>
      </c>
      <c r="D14">
        <v>37</v>
      </c>
      <c r="E14">
        <v>50</v>
      </c>
      <c r="F14">
        <v>74</v>
      </c>
      <c r="G14">
        <v>59</v>
      </c>
      <c r="H14">
        <v>53</v>
      </c>
      <c r="I14">
        <v>30</v>
      </c>
      <c r="J14">
        <v>67</v>
      </c>
      <c r="K14">
        <v>171</v>
      </c>
      <c r="L14">
        <v>351</v>
      </c>
      <c r="M14">
        <v>230</v>
      </c>
      <c r="N14">
        <v>285</v>
      </c>
    </row>
    <row r="15" spans="2:14" x14ac:dyDescent="0.3">
      <c r="B15" t="s">
        <v>98</v>
      </c>
      <c r="C15" s="26">
        <v>-5857</v>
      </c>
      <c r="D15">
        <v>73</v>
      </c>
      <c r="E15">
        <v>-429</v>
      </c>
      <c r="F15" s="26">
        <v>-5461</v>
      </c>
      <c r="G15" s="26">
        <v>-4728</v>
      </c>
      <c r="H15">
        <v>-6</v>
      </c>
      <c r="I15">
        <v>-329</v>
      </c>
      <c r="J15">
        <v>-130</v>
      </c>
      <c r="K15" s="26">
        <v>-1439</v>
      </c>
      <c r="L15" s="26">
        <v>-7530</v>
      </c>
      <c r="M15" s="26">
        <v>-3008</v>
      </c>
      <c r="N15">
        <v>-50</v>
      </c>
    </row>
    <row r="16" spans="2:14" x14ac:dyDescent="0.3">
      <c r="B16" t="s">
        <v>99</v>
      </c>
      <c r="C16">
        <v>84</v>
      </c>
      <c r="D16">
        <v>34</v>
      </c>
      <c r="E16">
        <v>4</v>
      </c>
      <c r="F16">
        <v>42</v>
      </c>
      <c r="G16">
        <v>89</v>
      </c>
      <c r="H16" s="26">
        <v>1965</v>
      </c>
      <c r="I16" s="26">
        <v>2381</v>
      </c>
      <c r="J16" s="26">
        <v>5644</v>
      </c>
      <c r="K16">
        <v>21</v>
      </c>
      <c r="L16">
        <v>226</v>
      </c>
      <c r="M16">
        <v>104</v>
      </c>
      <c r="N16" s="26">
        <v>6895</v>
      </c>
    </row>
    <row r="17" spans="2:14" x14ac:dyDescent="0.3">
      <c r="B17" t="s">
        <v>100</v>
      </c>
      <c r="C17">
        <v>467</v>
      </c>
      <c r="D17">
        <v>713</v>
      </c>
      <c r="E17">
        <v>653</v>
      </c>
      <c r="F17">
        <v>698</v>
      </c>
      <c r="G17">
        <v>731</v>
      </c>
      <c r="H17">
        <v>638</v>
      </c>
      <c r="I17">
        <v>690</v>
      </c>
      <c r="J17">
        <v>761</v>
      </c>
      <c r="K17" s="26">
        <v>1104</v>
      </c>
      <c r="L17">
        <v>428</v>
      </c>
      <c r="M17">
        <v>653</v>
      </c>
      <c r="N17">
        <v>973</v>
      </c>
    </row>
    <row r="18" spans="2:14" x14ac:dyDescent="0.3">
      <c r="B18" t="s">
        <v>101</v>
      </c>
      <c r="C18">
        <v>70</v>
      </c>
      <c r="D18">
        <v>95</v>
      </c>
      <c r="E18">
        <v>40</v>
      </c>
      <c r="F18">
        <v>80</v>
      </c>
      <c r="G18">
        <v>58</v>
      </c>
      <c r="H18">
        <v>620</v>
      </c>
      <c r="I18" s="26">
        <v>1797</v>
      </c>
      <c r="J18">
        <v>232</v>
      </c>
      <c r="K18">
        <v>21</v>
      </c>
      <c r="L18">
        <v>18</v>
      </c>
      <c r="M18">
        <v>32</v>
      </c>
      <c r="N18">
        <v>46</v>
      </c>
    </row>
    <row r="19" spans="2:14" x14ac:dyDescent="0.3">
      <c r="B19" t="s">
        <v>102</v>
      </c>
      <c r="C19">
        <v>-304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103</v>
      </c>
      <c r="C20">
        <v>-9</v>
      </c>
      <c r="D20">
        <v>0</v>
      </c>
      <c r="E20">
        <v>0</v>
      </c>
      <c r="F20">
        <v>-160</v>
      </c>
      <c r="G20">
        <v>0</v>
      </c>
      <c r="H20">
        <v>-107</v>
      </c>
      <c r="I20">
        <v>-4</v>
      </c>
      <c r="J20">
        <v>-9</v>
      </c>
      <c r="K20">
        <v>-606</v>
      </c>
      <c r="L20">
        <v>-10</v>
      </c>
      <c r="M20">
        <v>0</v>
      </c>
      <c r="N20">
        <v>0</v>
      </c>
    </row>
    <row r="21" spans="2:14" x14ac:dyDescent="0.3">
      <c r="B21" t="s">
        <v>104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14</v>
      </c>
      <c r="J21">
        <v>533</v>
      </c>
      <c r="K21">
        <v>0</v>
      </c>
      <c r="L21">
        <v>0</v>
      </c>
      <c r="M21">
        <v>0</v>
      </c>
      <c r="N21">
        <v>19</v>
      </c>
    </row>
    <row r="22" spans="2:14" x14ac:dyDescent="0.3">
      <c r="B22" t="s">
        <v>105</v>
      </c>
      <c r="C22">
        <v>0</v>
      </c>
      <c r="D22">
        <v>0</v>
      </c>
      <c r="E22">
        <v>-185</v>
      </c>
      <c r="F22">
        <v>0</v>
      </c>
      <c r="G22">
        <v>-111</v>
      </c>
      <c r="H22">
        <v>0</v>
      </c>
      <c r="I22">
        <v>0</v>
      </c>
      <c r="J22">
        <v>-8</v>
      </c>
      <c r="K22">
        <v>-27</v>
      </c>
      <c r="L22">
        <v>0</v>
      </c>
      <c r="M22">
        <v>-98</v>
      </c>
      <c r="N22">
        <v>0</v>
      </c>
    </row>
    <row r="23" spans="2:14" x14ac:dyDescent="0.3">
      <c r="B23" t="s">
        <v>106</v>
      </c>
      <c r="C23">
        <v>-3</v>
      </c>
      <c r="D23">
        <v>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107</v>
      </c>
      <c r="C24">
        <v>-129</v>
      </c>
      <c r="D24" s="26">
        <v>-5103</v>
      </c>
      <c r="E24" s="26">
        <v>-1149</v>
      </c>
      <c r="F24">
        <v>456</v>
      </c>
      <c r="G24" s="26">
        <v>-1289</v>
      </c>
      <c r="H24" s="26">
        <v>-26663</v>
      </c>
      <c r="I24" s="26">
        <v>5360</v>
      </c>
      <c r="J24" s="26">
        <v>7335</v>
      </c>
      <c r="K24" s="26">
        <v>-2659</v>
      </c>
      <c r="L24" s="26">
        <v>1051</v>
      </c>
      <c r="M24" s="26">
        <v>12813</v>
      </c>
      <c r="N24" s="26">
        <v>-4357</v>
      </c>
    </row>
    <row r="25" spans="2:14" x14ac:dyDescent="0.3">
      <c r="B25" t="s">
        <v>108</v>
      </c>
      <c r="C25" s="26">
        <v>6567</v>
      </c>
      <c r="D25" s="26">
        <v>-1692</v>
      </c>
      <c r="E25" s="26">
        <v>-3883</v>
      </c>
      <c r="F25" s="26">
        <v>5201</v>
      </c>
      <c r="G25" s="26">
        <v>-3795</v>
      </c>
      <c r="H25" s="26">
        <v>6205</v>
      </c>
      <c r="I25" s="26">
        <v>2012</v>
      </c>
      <c r="J25" s="26">
        <v>8830</v>
      </c>
      <c r="K25" s="26">
        <v>3390</v>
      </c>
      <c r="L25" s="26">
        <v>9904</v>
      </c>
      <c r="M25" s="26">
        <v>-3380</v>
      </c>
      <c r="N25" s="26">
        <v>-26243</v>
      </c>
    </row>
    <row r="26" spans="2:14" x14ac:dyDescent="0.3">
      <c r="B26" t="s">
        <v>109</v>
      </c>
      <c r="C26">
        <v>139</v>
      </c>
      <c r="D26">
        <v>1</v>
      </c>
      <c r="E26">
        <v>0</v>
      </c>
      <c r="F26">
        <v>0</v>
      </c>
      <c r="G26" s="26">
        <v>7433</v>
      </c>
      <c r="H26">
        <v>5</v>
      </c>
      <c r="I26">
        <v>0</v>
      </c>
      <c r="J26">
        <v>0</v>
      </c>
      <c r="K26" s="26">
        <v>3889</v>
      </c>
      <c r="L26" s="26">
        <v>2603</v>
      </c>
      <c r="M26">
        <v>19</v>
      </c>
      <c r="N26">
        <v>20</v>
      </c>
    </row>
    <row r="27" spans="2:14" x14ac:dyDescent="0.3">
      <c r="B27" t="s">
        <v>110</v>
      </c>
      <c r="C27">
        <v>0</v>
      </c>
      <c r="D27">
        <v>-97</v>
      </c>
      <c r="E27">
        <v>-658</v>
      </c>
      <c r="F27">
        <v>-744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3">
      <c r="B28" t="s">
        <v>111</v>
      </c>
      <c r="C28" s="26">
        <v>27462</v>
      </c>
      <c r="D28" s="26">
        <v>27863</v>
      </c>
      <c r="E28" s="26">
        <v>33258</v>
      </c>
      <c r="F28" s="26">
        <v>36363</v>
      </c>
      <c r="G28" s="26">
        <v>19519</v>
      </c>
      <c r="H28" s="26">
        <v>33390</v>
      </c>
      <c r="I28" s="26">
        <v>37482</v>
      </c>
      <c r="J28" s="26">
        <v>51128</v>
      </c>
      <c r="K28" s="26">
        <v>38297</v>
      </c>
      <c r="L28" s="26">
        <v>46641</v>
      </c>
      <c r="M28" s="26">
        <v>46578</v>
      </c>
      <c r="N28" s="26">
        <v>43934</v>
      </c>
    </row>
    <row r="29" spans="2:14" x14ac:dyDescent="0.3">
      <c r="B29" t="s">
        <v>112</v>
      </c>
      <c r="C29" s="26">
        <v>-15010</v>
      </c>
      <c r="D29" s="26">
        <v>-20395</v>
      </c>
      <c r="E29" s="26">
        <v>-29141</v>
      </c>
      <c r="F29" s="26">
        <v>-23332</v>
      </c>
      <c r="G29" s="26">
        <v>-24924</v>
      </c>
      <c r="H29" s="26">
        <v>-21732</v>
      </c>
      <c r="I29" s="26">
        <v>-29964</v>
      </c>
      <c r="J29" s="26">
        <v>-35198</v>
      </c>
      <c r="K29" s="26">
        <v>-29847</v>
      </c>
      <c r="L29" s="26">
        <v>-29709</v>
      </c>
      <c r="M29" s="26">
        <v>-42816</v>
      </c>
      <c r="N29" s="26">
        <v>-62557</v>
      </c>
    </row>
    <row r="30" spans="2:14" x14ac:dyDescent="0.3">
      <c r="B30" t="s">
        <v>113</v>
      </c>
      <c r="C30" s="26">
        <v>-3374</v>
      </c>
      <c r="D30" s="26">
        <v>-4666</v>
      </c>
      <c r="E30" s="26">
        <v>-6171</v>
      </c>
      <c r="F30" s="26">
        <v>-6307</v>
      </c>
      <c r="G30" s="26">
        <v>-5716</v>
      </c>
      <c r="H30" s="26">
        <v>-5336</v>
      </c>
      <c r="I30" s="26">
        <v>-5411</v>
      </c>
      <c r="J30" s="26">
        <v>-7005</v>
      </c>
      <c r="K30" s="26">
        <v>-7518</v>
      </c>
      <c r="L30" s="26">
        <v>-8123</v>
      </c>
      <c r="M30" s="26">
        <v>-9251</v>
      </c>
      <c r="N30" s="26">
        <v>-9336</v>
      </c>
    </row>
    <row r="31" spans="2:14" x14ac:dyDescent="0.3">
      <c r="B31" t="s">
        <v>114</v>
      </c>
      <c r="C31" s="26">
        <v>-1503</v>
      </c>
      <c r="D31" s="26">
        <v>-1551</v>
      </c>
      <c r="E31">
        <v>-722</v>
      </c>
      <c r="F31">
        <v>-720</v>
      </c>
      <c r="G31">
        <v>-108</v>
      </c>
      <c r="H31">
        <v>-121</v>
      </c>
      <c r="I31">
        <v>-96</v>
      </c>
      <c r="J31">
        <v>-95</v>
      </c>
      <c r="K31">
        <v>-57</v>
      </c>
      <c r="L31">
        <v>-30</v>
      </c>
      <c r="M31">
        <v>-100</v>
      </c>
      <c r="N31">
        <v>-141</v>
      </c>
    </row>
    <row r="32" spans="2:14" x14ac:dyDescent="0.3">
      <c r="B32" t="s">
        <v>115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26">
        <v>-1346</v>
      </c>
      <c r="L32" s="26">
        <v>-1477</v>
      </c>
      <c r="M32" s="26">
        <v>-1559</v>
      </c>
      <c r="N32" s="26">
        <v>-1517</v>
      </c>
    </row>
    <row r="33" spans="2:14" x14ac:dyDescent="0.3">
      <c r="B33" t="s">
        <v>116</v>
      </c>
      <c r="C33" s="26">
        <v>-1147</v>
      </c>
      <c r="D33" s="26">
        <v>-2849</v>
      </c>
      <c r="E33">
        <v>-450</v>
      </c>
      <c r="F33">
        <v>-57</v>
      </c>
      <c r="G33">
        <v>0</v>
      </c>
      <c r="H33">
        <v>0</v>
      </c>
      <c r="I33">
        <v>0</v>
      </c>
      <c r="J33">
        <v>0</v>
      </c>
      <c r="K33">
        <v>-29</v>
      </c>
      <c r="L33">
        <v>0</v>
      </c>
      <c r="M33" s="26">
        <v>3750</v>
      </c>
      <c r="N33" s="26">
        <v>3355</v>
      </c>
    </row>
    <row r="34" spans="2:14" x14ac:dyDescent="0.3">
      <c r="B34" t="s">
        <v>50</v>
      </c>
      <c r="C34" s="26">
        <v>5488</v>
      </c>
      <c r="D34" s="26">
        <v>-2499</v>
      </c>
      <c r="E34" s="26">
        <v>4277</v>
      </c>
      <c r="F34" s="26">
        <v>4500</v>
      </c>
      <c r="G34" s="26">
        <v>-2589</v>
      </c>
      <c r="H34" s="26">
        <v>-3167</v>
      </c>
      <c r="I34">
        <v>730</v>
      </c>
      <c r="J34" s="26">
        <v>6843</v>
      </c>
      <c r="K34" s="26">
        <v>-3092</v>
      </c>
      <c r="L34" s="26">
        <v>13232</v>
      </c>
      <c r="M34" s="26">
        <v>6459</v>
      </c>
      <c r="N34" s="26">
        <v>-6272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Financials&gt;</vt:lpstr>
      <vt:lpstr>Data</vt:lpstr>
      <vt:lpstr>HistoricalFS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dey</dc:creator>
  <cp:lastModifiedBy>sourav dey</cp:lastModifiedBy>
  <dcterms:created xsi:type="dcterms:W3CDTF">2024-04-29T05:58:04Z</dcterms:created>
  <dcterms:modified xsi:type="dcterms:W3CDTF">2024-05-07T16:13:31Z</dcterms:modified>
</cp:coreProperties>
</file>